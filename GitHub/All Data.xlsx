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ba/OSU/CS578 W26/578 Project/"/>
    </mc:Choice>
  </mc:AlternateContent>
  <xr:revisionPtr revIDLastSave="0" documentId="13_ncr:1_{D925EC2B-C181-C944-8B84-94F5B7E9232E}" xr6:coauthVersionLast="47" xr6:coauthVersionMax="47" xr10:uidLastSave="{00000000-0000-0000-0000-000000000000}"/>
  <bookViews>
    <workbookView xWindow="-46080" yWindow="-16000" windowWidth="46080" windowHeight="25920" firstSheet="6" activeTab="21" xr2:uid="{CE7F6102-098E-D947-8B48-7357A0E618DC}"/>
  </bookViews>
  <sheets>
    <sheet name="Summary" sheetId="9" r:id="rId1"/>
    <sheet name="FP Tracer Sites" sheetId="2" r:id="rId2"/>
    <sheet name="Jshelter Sites" sheetId="4" r:id="rId3"/>
    <sheet name="Policy Cat" sheetId="8" r:id="rId4"/>
    <sheet name="FP Tracer Cat" sheetId="7" r:id="rId5"/>
    <sheet name="Jshelter Cat" sheetId="6" r:id="rId6"/>
    <sheet name="FP Tracer API" sheetId="3" r:id="rId7"/>
    <sheet name="JShelter API" sheetId="5" r:id="rId8"/>
    <sheet name="1 API Matrix" sheetId="10" r:id="rId9"/>
    <sheet name="2 Category Matrix" sheetId="11" r:id="rId10"/>
    <sheet name="3 API Matrix" sheetId="12" r:id="rId11"/>
    <sheet name="4 Category Matrix" sheetId="13" r:id="rId12"/>
    <sheet name="5 API Matrix" sheetId="14" r:id="rId13"/>
    <sheet name="6 Category Matrix" sheetId="15" r:id="rId14"/>
    <sheet name="7 API Matrix" sheetId="16" r:id="rId15"/>
    <sheet name="8 Category Matrix" sheetId="17" r:id="rId16"/>
    <sheet name="9 Policy Declared" sheetId="18" r:id="rId17"/>
    <sheet name="10 Policy vs JShelter" sheetId="19" r:id="rId18"/>
    <sheet name="11 Policy vs FP Tracer" sheetId="20" r:id="rId19"/>
    <sheet name="12 Policy Declared" sheetId="21" r:id="rId20"/>
    <sheet name="13 Policy vs JShelter" sheetId="22" r:id="rId21"/>
    <sheet name="14 Policy vs FP Tracer" sheetId="23" r:id="rId22"/>
  </sheets>
  <externalReferences>
    <externalReference r:id="rId23"/>
  </externalReferences>
  <definedNames>
    <definedName name="_xlnm._FilterDatabase" localSheetId="17" hidden="1">'10 Policy vs JShelter'!$A$1:$T$101</definedName>
    <definedName name="_xlnm._FilterDatabase" localSheetId="18" hidden="1">'11 Policy vs FP Tracer'!$A$1:$O$101</definedName>
    <definedName name="_xlnm._FilterDatabase" localSheetId="9" hidden="1">'2 Category Matrix'!$A$1:$R$101</definedName>
    <definedName name="_xlnm._FilterDatabase" localSheetId="11" hidden="1">'4 Category Matrix'!$A$1:$R$101</definedName>
    <definedName name="_xlnm._FilterDatabase" localSheetId="16" hidden="1">'9 Policy Declared'!$A$1:$T$101</definedName>
    <definedName name="_xlnm._FilterDatabase" localSheetId="1" hidden="1">'FP Tracer Sites'!$A$1:$E$1</definedName>
    <definedName name="_xlnm._FilterDatabase" localSheetId="2" hidden="1">'Jshelter Sites'!$B$1:$E$1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23" l="1"/>
  <c r="L103" i="23"/>
  <c r="K103" i="23"/>
  <c r="J103" i="23"/>
  <c r="I103" i="23"/>
  <c r="H103" i="23"/>
  <c r="G103" i="23"/>
  <c r="F103" i="23"/>
  <c r="E103" i="23"/>
  <c r="D103" i="23"/>
  <c r="D104" i="23" s="1"/>
  <c r="C103" i="23"/>
  <c r="C104" i="23" s="1"/>
  <c r="L102" i="23"/>
  <c r="L104" i="23" s="1"/>
  <c r="K102" i="23"/>
  <c r="K104" i="23" s="1"/>
  <c r="J102" i="23"/>
  <c r="J104" i="23" s="1"/>
  <c r="I102" i="23"/>
  <c r="I104" i="23" s="1"/>
  <c r="H102" i="23"/>
  <c r="H104" i="23" s="1"/>
  <c r="G102" i="23"/>
  <c r="G104" i="23" s="1"/>
  <c r="F102" i="23"/>
  <c r="F104" i="23" s="1"/>
  <c r="E102" i="23"/>
  <c r="D102" i="23"/>
  <c r="C102" i="23"/>
  <c r="N101" i="23"/>
  <c r="M101" i="23"/>
  <c r="O101" i="23" s="1"/>
  <c r="N100" i="23"/>
  <c r="M100" i="23"/>
  <c r="O100" i="23" s="1"/>
  <c r="O99" i="23"/>
  <c r="N99" i="23"/>
  <c r="M99" i="23"/>
  <c r="N98" i="23"/>
  <c r="M98" i="23"/>
  <c r="O98" i="23" s="1"/>
  <c r="N97" i="23"/>
  <c r="M97" i="23"/>
  <c r="O97" i="23" s="1"/>
  <c r="N96" i="23"/>
  <c r="O96" i="23" s="1"/>
  <c r="M96" i="23"/>
  <c r="N95" i="23"/>
  <c r="O95" i="23" s="1"/>
  <c r="M95" i="23"/>
  <c r="N94" i="23"/>
  <c r="M94" i="23"/>
  <c r="O94" i="23" s="1"/>
  <c r="N93" i="23"/>
  <c r="M93" i="23"/>
  <c r="O93" i="23" s="1"/>
  <c r="N92" i="23"/>
  <c r="M92" i="23"/>
  <c r="O92" i="23" s="1"/>
  <c r="N91" i="23"/>
  <c r="M91" i="23"/>
  <c r="O91" i="23" s="1"/>
  <c r="N90" i="23"/>
  <c r="M90" i="23"/>
  <c r="O90" i="23" s="1"/>
  <c r="O89" i="23"/>
  <c r="N89" i="23"/>
  <c r="M89" i="23"/>
  <c r="N88" i="23"/>
  <c r="M88" i="23"/>
  <c r="O88" i="23" s="1"/>
  <c r="N87" i="23"/>
  <c r="M87" i="23"/>
  <c r="O87" i="23" s="1"/>
  <c r="N86" i="23"/>
  <c r="O86" i="23" s="1"/>
  <c r="M86" i="23"/>
  <c r="O85" i="23"/>
  <c r="N85" i="23"/>
  <c r="M85" i="23"/>
  <c r="N84" i="23"/>
  <c r="M84" i="23"/>
  <c r="O84" i="23" s="1"/>
  <c r="N83" i="23"/>
  <c r="M83" i="23"/>
  <c r="O83" i="23" s="1"/>
  <c r="N82" i="23"/>
  <c r="M82" i="23"/>
  <c r="O82" i="23" s="1"/>
  <c r="N81" i="23"/>
  <c r="M81" i="23"/>
  <c r="O81" i="23" s="1"/>
  <c r="N80" i="23"/>
  <c r="M80" i="23"/>
  <c r="O80" i="23" s="1"/>
  <c r="O79" i="23"/>
  <c r="N79" i="23"/>
  <c r="M79" i="23"/>
  <c r="N78" i="23"/>
  <c r="M78" i="23"/>
  <c r="O78" i="23" s="1"/>
  <c r="N77" i="23"/>
  <c r="M77" i="23"/>
  <c r="O77" i="23" s="1"/>
  <c r="N76" i="23"/>
  <c r="O76" i="23" s="1"/>
  <c r="M76" i="23"/>
  <c r="O75" i="23"/>
  <c r="N75" i="23"/>
  <c r="M75" i="23"/>
  <c r="N74" i="23"/>
  <c r="M74" i="23"/>
  <c r="O74" i="23" s="1"/>
  <c r="N73" i="23"/>
  <c r="M73" i="23"/>
  <c r="O73" i="23" s="1"/>
  <c r="N72" i="23"/>
  <c r="M72" i="23"/>
  <c r="O72" i="23" s="1"/>
  <c r="N71" i="23"/>
  <c r="M71" i="23"/>
  <c r="O71" i="23" s="1"/>
  <c r="N70" i="23"/>
  <c r="M70" i="23"/>
  <c r="O70" i="23" s="1"/>
  <c r="O69" i="23"/>
  <c r="N69" i="23"/>
  <c r="M69" i="23"/>
  <c r="N68" i="23"/>
  <c r="M68" i="23"/>
  <c r="O68" i="23" s="1"/>
  <c r="N67" i="23"/>
  <c r="M67" i="23"/>
  <c r="O67" i="23" s="1"/>
  <c r="N66" i="23"/>
  <c r="O66" i="23" s="1"/>
  <c r="M66" i="23"/>
  <c r="O65" i="23"/>
  <c r="N65" i="23"/>
  <c r="M65" i="23"/>
  <c r="N64" i="23"/>
  <c r="M64" i="23"/>
  <c r="O64" i="23" s="1"/>
  <c r="N63" i="23"/>
  <c r="M63" i="23"/>
  <c r="O63" i="23" s="1"/>
  <c r="N62" i="23"/>
  <c r="M62" i="23"/>
  <c r="O62" i="23" s="1"/>
  <c r="N61" i="23"/>
  <c r="M61" i="23"/>
  <c r="O61" i="23" s="1"/>
  <c r="N60" i="23"/>
  <c r="M60" i="23"/>
  <c r="O60" i="23" s="1"/>
  <c r="O59" i="23"/>
  <c r="N59" i="23"/>
  <c r="M59" i="23"/>
  <c r="N58" i="23"/>
  <c r="M58" i="23"/>
  <c r="O58" i="23" s="1"/>
  <c r="N57" i="23"/>
  <c r="M57" i="23"/>
  <c r="O57" i="23" s="1"/>
  <c r="N56" i="23"/>
  <c r="O56" i="23" s="1"/>
  <c r="M56" i="23"/>
  <c r="O55" i="23"/>
  <c r="N55" i="23"/>
  <c r="M55" i="23"/>
  <c r="N54" i="23"/>
  <c r="M54" i="23"/>
  <c r="O54" i="23" s="1"/>
  <c r="N53" i="23"/>
  <c r="M53" i="23"/>
  <c r="O53" i="23" s="1"/>
  <c r="N52" i="23"/>
  <c r="M52" i="23"/>
  <c r="O52" i="23" s="1"/>
  <c r="N51" i="23"/>
  <c r="M51" i="23"/>
  <c r="O51" i="23" s="1"/>
  <c r="N50" i="23"/>
  <c r="M50" i="23"/>
  <c r="O50" i="23" s="1"/>
  <c r="O49" i="23"/>
  <c r="N49" i="23"/>
  <c r="M49" i="23"/>
  <c r="N48" i="23"/>
  <c r="M48" i="23"/>
  <c r="O48" i="23" s="1"/>
  <c r="N47" i="23"/>
  <c r="M47" i="23"/>
  <c r="O47" i="23" s="1"/>
  <c r="N46" i="23"/>
  <c r="O46" i="23" s="1"/>
  <c r="M46" i="23"/>
  <c r="O45" i="23"/>
  <c r="N45" i="23"/>
  <c r="M45" i="23"/>
  <c r="N44" i="23"/>
  <c r="M44" i="23"/>
  <c r="O44" i="23" s="1"/>
  <c r="N43" i="23"/>
  <c r="M43" i="23"/>
  <c r="O43" i="23" s="1"/>
  <c r="N42" i="23"/>
  <c r="M42" i="23"/>
  <c r="O42" i="23" s="1"/>
  <c r="N41" i="23"/>
  <c r="M41" i="23"/>
  <c r="O41" i="23" s="1"/>
  <c r="N40" i="23"/>
  <c r="M40" i="23"/>
  <c r="O40" i="23" s="1"/>
  <c r="O39" i="23"/>
  <c r="N39" i="23"/>
  <c r="M39" i="23"/>
  <c r="N38" i="23"/>
  <c r="M38" i="23"/>
  <c r="O38" i="23" s="1"/>
  <c r="N37" i="23"/>
  <c r="M37" i="23"/>
  <c r="O37" i="23" s="1"/>
  <c r="N36" i="23"/>
  <c r="O36" i="23" s="1"/>
  <c r="M36" i="23"/>
  <c r="N35" i="23"/>
  <c r="M35" i="23"/>
  <c r="O35" i="23" s="1"/>
  <c r="N34" i="23"/>
  <c r="M34" i="23"/>
  <c r="O34" i="23" s="1"/>
  <c r="N33" i="23"/>
  <c r="M33" i="23"/>
  <c r="O33" i="23" s="1"/>
  <c r="N32" i="23"/>
  <c r="M32" i="23"/>
  <c r="O32" i="23" s="1"/>
  <c r="N31" i="23"/>
  <c r="M31" i="23"/>
  <c r="O31" i="23" s="1"/>
  <c r="N30" i="23"/>
  <c r="M30" i="23"/>
  <c r="O30" i="23" s="1"/>
  <c r="O29" i="23"/>
  <c r="N29" i="23"/>
  <c r="M29" i="23"/>
  <c r="N28" i="23"/>
  <c r="M28" i="23"/>
  <c r="O28" i="23" s="1"/>
  <c r="N27" i="23"/>
  <c r="M27" i="23"/>
  <c r="O27" i="23" s="1"/>
  <c r="N26" i="23"/>
  <c r="O26" i="23" s="1"/>
  <c r="M26" i="23"/>
  <c r="N25" i="23"/>
  <c r="M25" i="23"/>
  <c r="O25" i="23" s="1"/>
  <c r="N24" i="23"/>
  <c r="M24" i="23"/>
  <c r="O24" i="23" s="1"/>
  <c r="N23" i="23"/>
  <c r="M23" i="23"/>
  <c r="O23" i="23" s="1"/>
  <c r="N22" i="23"/>
  <c r="M22" i="23"/>
  <c r="O22" i="23" s="1"/>
  <c r="N21" i="23"/>
  <c r="M21" i="23"/>
  <c r="O21" i="23" s="1"/>
  <c r="N20" i="23"/>
  <c r="M20" i="23"/>
  <c r="O20" i="23" s="1"/>
  <c r="O19" i="23"/>
  <c r="N19" i="23"/>
  <c r="M19" i="23"/>
  <c r="N18" i="23"/>
  <c r="M18" i="23"/>
  <c r="O18" i="23" s="1"/>
  <c r="N17" i="23"/>
  <c r="M17" i="23"/>
  <c r="O17" i="23" s="1"/>
  <c r="N16" i="23"/>
  <c r="O16" i="23" s="1"/>
  <c r="M16" i="23"/>
  <c r="N15" i="23"/>
  <c r="M15" i="23"/>
  <c r="O15" i="23" s="1"/>
  <c r="N14" i="23"/>
  <c r="M14" i="23"/>
  <c r="O14" i="23" s="1"/>
  <c r="N13" i="23"/>
  <c r="M13" i="23"/>
  <c r="O13" i="23" s="1"/>
  <c r="N12" i="23"/>
  <c r="O12" i="23" s="1"/>
  <c r="M12" i="23"/>
  <c r="N11" i="23"/>
  <c r="M11" i="23"/>
  <c r="O11" i="23" s="1"/>
  <c r="N10" i="23"/>
  <c r="M10" i="23"/>
  <c r="O10" i="23" s="1"/>
  <c r="O9" i="23"/>
  <c r="N9" i="23"/>
  <c r="M9" i="23"/>
  <c r="N8" i="23"/>
  <c r="M8" i="23"/>
  <c r="O8" i="23" s="1"/>
  <c r="N7" i="23"/>
  <c r="M7" i="23"/>
  <c r="O7" i="23" s="1"/>
  <c r="N6" i="23"/>
  <c r="O6" i="23" s="1"/>
  <c r="M6" i="23"/>
  <c r="N5" i="23"/>
  <c r="M5" i="23"/>
  <c r="O5" i="23" s="1"/>
  <c r="N4" i="23"/>
  <c r="M4" i="23"/>
  <c r="O4" i="23" s="1"/>
  <c r="N3" i="23"/>
  <c r="M3" i="23"/>
  <c r="O3" i="23" s="1"/>
  <c r="N2" i="23"/>
  <c r="N102" i="23" s="1"/>
  <c r="M2" i="23"/>
  <c r="O2" i="23" s="1"/>
  <c r="K104" i="22"/>
  <c r="H104" i="22"/>
  <c r="G104" i="22"/>
  <c r="N103" i="22"/>
  <c r="M103" i="22"/>
  <c r="L103" i="22"/>
  <c r="K103" i="22"/>
  <c r="J103" i="22"/>
  <c r="J104" i="22" s="1"/>
  <c r="I103" i="22"/>
  <c r="I104" i="22" s="1"/>
  <c r="H103" i="22"/>
  <c r="G103" i="22"/>
  <c r="F103" i="22"/>
  <c r="E103" i="22"/>
  <c r="D103" i="22"/>
  <c r="C103" i="22"/>
  <c r="N102" i="22"/>
  <c r="N104" i="22" s="1"/>
  <c r="M102" i="22"/>
  <c r="M104" i="22" s="1"/>
  <c r="L102" i="22"/>
  <c r="L104" i="22" s="1"/>
  <c r="K102" i="22"/>
  <c r="J102" i="22"/>
  <c r="I102" i="22"/>
  <c r="H102" i="22"/>
  <c r="G102" i="22"/>
  <c r="F102" i="22"/>
  <c r="F104" i="22" s="1"/>
  <c r="E102" i="22"/>
  <c r="E104" i="22" s="1"/>
  <c r="D102" i="22"/>
  <c r="D104" i="22" s="1"/>
  <c r="C102" i="22"/>
  <c r="C104" i="22" s="1"/>
  <c r="Q101" i="22"/>
  <c r="P101" i="22"/>
  <c r="O101" i="22"/>
  <c r="P100" i="22"/>
  <c r="O100" i="22"/>
  <c r="Q100" i="22" s="1"/>
  <c r="P99" i="22"/>
  <c r="O99" i="22"/>
  <c r="Q99" i="22" s="1"/>
  <c r="P98" i="22"/>
  <c r="Q98" i="22" s="1"/>
  <c r="O98" i="22"/>
  <c r="P97" i="22"/>
  <c r="O97" i="22"/>
  <c r="Q97" i="22" s="1"/>
  <c r="P96" i="22"/>
  <c r="O96" i="22"/>
  <c r="Q96" i="22" s="1"/>
  <c r="Q95" i="22"/>
  <c r="P95" i="22"/>
  <c r="O95" i="22"/>
  <c r="P94" i="22"/>
  <c r="O94" i="22"/>
  <c r="Q94" i="22" s="1"/>
  <c r="P93" i="22"/>
  <c r="O93" i="22"/>
  <c r="Q93" i="22" s="1"/>
  <c r="P92" i="22"/>
  <c r="Q92" i="22" s="1"/>
  <c r="O92" i="22"/>
  <c r="Q91" i="22"/>
  <c r="P91" i="22"/>
  <c r="O91" i="22"/>
  <c r="P90" i="22"/>
  <c r="O90" i="22"/>
  <c r="Q90" i="22" s="1"/>
  <c r="P89" i="22"/>
  <c r="O89" i="22"/>
  <c r="Q89" i="22" s="1"/>
  <c r="P88" i="22"/>
  <c r="Q88" i="22" s="1"/>
  <c r="O88" i="22"/>
  <c r="P87" i="22"/>
  <c r="O87" i="22"/>
  <c r="Q87" i="22" s="1"/>
  <c r="P86" i="22"/>
  <c r="O86" i="22"/>
  <c r="Q86" i="22" s="1"/>
  <c r="Q85" i="22"/>
  <c r="P85" i="22"/>
  <c r="O85" i="22"/>
  <c r="P84" i="22"/>
  <c r="O84" i="22"/>
  <c r="Q84" i="22" s="1"/>
  <c r="P83" i="22"/>
  <c r="O83" i="22"/>
  <c r="Q83" i="22" s="1"/>
  <c r="P82" i="22"/>
  <c r="Q82" i="22" s="1"/>
  <c r="O82" i="22"/>
  <c r="Q81" i="22"/>
  <c r="P81" i="22"/>
  <c r="O81" i="22"/>
  <c r="P80" i="22"/>
  <c r="O80" i="22"/>
  <c r="Q80" i="22" s="1"/>
  <c r="P79" i="22"/>
  <c r="O79" i="22"/>
  <c r="Q79" i="22" s="1"/>
  <c r="P78" i="22"/>
  <c r="Q78" i="22" s="1"/>
  <c r="O78" i="22"/>
  <c r="P77" i="22"/>
  <c r="O77" i="22"/>
  <c r="Q77" i="22" s="1"/>
  <c r="P76" i="22"/>
  <c r="O76" i="22"/>
  <c r="Q76" i="22" s="1"/>
  <c r="Q75" i="22"/>
  <c r="P75" i="22"/>
  <c r="O75" i="22"/>
  <c r="P74" i="22"/>
  <c r="O74" i="22"/>
  <c r="Q74" i="22" s="1"/>
  <c r="P73" i="22"/>
  <c r="O73" i="22"/>
  <c r="Q73" i="22" s="1"/>
  <c r="P72" i="22"/>
  <c r="Q72" i="22" s="1"/>
  <c r="O72" i="22"/>
  <c r="Q71" i="22"/>
  <c r="P71" i="22"/>
  <c r="O71" i="22"/>
  <c r="P70" i="22"/>
  <c r="O70" i="22"/>
  <c r="Q70" i="22" s="1"/>
  <c r="P69" i="22"/>
  <c r="O69" i="22"/>
  <c r="Q69" i="22" s="1"/>
  <c r="P68" i="22"/>
  <c r="Q68" i="22" s="1"/>
  <c r="O68" i="22"/>
  <c r="P67" i="22"/>
  <c r="O67" i="22"/>
  <c r="Q67" i="22" s="1"/>
  <c r="P66" i="22"/>
  <c r="O66" i="22"/>
  <c r="Q66" i="22" s="1"/>
  <c r="Q65" i="22"/>
  <c r="P65" i="22"/>
  <c r="O65" i="22"/>
  <c r="P64" i="22"/>
  <c r="O64" i="22"/>
  <c r="Q64" i="22" s="1"/>
  <c r="P63" i="22"/>
  <c r="O63" i="22"/>
  <c r="Q63" i="22" s="1"/>
  <c r="P62" i="22"/>
  <c r="Q62" i="22" s="1"/>
  <c r="O62" i="22"/>
  <c r="Q61" i="22"/>
  <c r="P61" i="22"/>
  <c r="O61" i="22"/>
  <c r="P60" i="22"/>
  <c r="O60" i="22"/>
  <c r="Q60" i="22" s="1"/>
  <c r="P59" i="22"/>
  <c r="O59" i="22"/>
  <c r="Q59" i="22" s="1"/>
  <c r="P58" i="22"/>
  <c r="Q58" i="22" s="1"/>
  <c r="O58" i="22"/>
  <c r="P57" i="22"/>
  <c r="O57" i="22"/>
  <c r="Q57" i="22" s="1"/>
  <c r="P56" i="22"/>
  <c r="O56" i="22"/>
  <c r="Q56" i="22" s="1"/>
  <c r="Q55" i="22"/>
  <c r="P55" i="22"/>
  <c r="O55" i="22"/>
  <c r="P54" i="22"/>
  <c r="O54" i="22"/>
  <c r="Q54" i="22" s="1"/>
  <c r="P53" i="22"/>
  <c r="O53" i="22"/>
  <c r="Q53" i="22" s="1"/>
  <c r="P52" i="22"/>
  <c r="Q52" i="22" s="1"/>
  <c r="O52" i="22"/>
  <c r="Q51" i="22"/>
  <c r="P51" i="22"/>
  <c r="O51" i="22"/>
  <c r="P50" i="22"/>
  <c r="O50" i="22"/>
  <c r="Q50" i="22" s="1"/>
  <c r="P49" i="22"/>
  <c r="O49" i="22"/>
  <c r="Q49" i="22" s="1"/>
  <c r="P48" i="22"/>
  <c r="Q48" i="22" s="1"/>
  <c r="O48" i="22"/>
  <c r="P47" i="22"/>
  <c r="O47" i="22"/>
  <c r="Q47" i="22" s="1"/>
  <c r="P46" i="22"/>
  <c r="O46" i="22"/>
  <c r="Q46" i="22" s="1"/>
  <c r="Q45" i="22"/>
  <c r="P45" i="22"/>
  <c r="O45" i="22"/>
  <c r="P44" i="22"/>
  <c r="O44" i="22"/>
  <c r="Q44" i="22" s="1"/>
  <c r="P43" i="22"/>
  <c r="O43" i="22"/>
  <c r="Q43" i="22" s="1"/>
  <c r="P42" i="22"/>
  <c r="Q42" i="22" s="1"/>
  <c r="O42" i="22"/>
  <c r="Q41" i="22"/>
  <c r="P41" i="22"/>
  <c r="O41" i="22"/>
  <c r="P40" i="22"/>
  <c r="O40" i="22"/>
  <c r="Q40" i="22" s="1"/>
  <c r="P39" i="22"/>
  <c r="O39" i="22"/>
  <c r="Q39" i="22" s="1"/>
  <c r="P38" i="22"/>
  <c r="Q38" i="22" s="1"/>
  <c r="O38" i="22"/>
  <c r="P37" i="22"/>
  <c r="O37" i="22"/>
  <c r="Q37" i="22" s="1"/>
  <c r="P36" i="22"/>
  <c r="O36" i="22"/>
  <c r="Q36" i="22" s="1"/>
  <c r="Q35" i="22"/>
  <c r="P35" i="22"/>
  <c r="O35" i="22"/>
  <c r="P34" i="22"/>
  <c r="O34" i="22"/>
  <c r="Q34" i="22" s="1"/>
  <c r="P33" i="22"/>
  <c r="O33" i="22"/>
  <c r="Q33" i="22" s="1"/>
  <c r="P32" i="22"/>
  <c r="Q32" i="22" s="1"/>
  <c r="O32" i="22"/>
  <c r="Q31" i="22"/>
  <c r="P31" i="22"/>
  <c r="O31" i="22"/>
  <c r="P30" i="22"/>
  <c r="O30" i="22"/>
  <c r="Q30" i="22" s="1"/>
  <c r="P29" i="22"/>
  <c r="O29" i="22"/>
  <c r="Q29" i="22" s="1"/>
  <c r="P28" i="22"/>
  <c r="Q28" i="22" s="1"/>
  <c r="O28" i="22"/>
  <c r="P27" i="22"/>
  <c r="O27" i="22"/>
  <c r="Q27" i="22" s="1"/>
  <c r="P26" i="22"/>
  <c r="O26" i="22"/>
  <c r="Q26" i="22" s="1"/>
  <c r="Q25" i="22"/>
  <c r="P25" i="22"/>
  <c r="O25" i="22"/>
  <c r="P24" i="22"/>
  <c r="O24" i="22"/>
  <c r="Q24" i="22" s="1"/>
  <c r="P23" i="22"/>
  <c r="O23" i="22"/>
  <c r="Q23" i="22" s="1"/>
  <c r="P22" i="22"/>
  <c r="Q22" i="22" s="1"/>
  <c r="O22" i="22"/>
  <c r="Q21" i="22"/>
  <c r="P21" i="22"/>
  <c r="O21" i="22"/>
  <c r="P20" i="22"/>
  <c r="O20" i="22"/>
  <c r="Q20" i="22" s="1"/>
  <c r="P19" i="22"/>
  <c r="O19" i="22"/>
  <c r="Q19" i="22" s="1"/>
  <c r="P18" i="22"/>
  <c r="Q18" i="22" s="1"/>
  <c r="O18" i="22"/>
  <c r="P17" i="22"/>
  <c r="O17" i="22"/>
  <c r="Q17" i="22" s="1"/>
  <c r="P16" i="22"/>
  <c r="O16" i="22"/>
  <c r="Q16" i="22" s="1"/>
  <c r="Q15" i="22"/>
  <c r="P15" i="22"/>
  <c r="O15" i="22"/>
  <c r="P14" i="22"/>
  <c r="O14" i="22"/>
  <c r="Q14" i="22" s="1"/>
  <c r="P13" i="22"/>
  <c r="O13" i="22"/>
  <c r="Q13" i="22" s="1"/>
  <c r="P12" i="22"/>
  <c r="Q12" i="22" s="1"/>
  <c r="O12" i="22"/>
  <c r="Q11" i="22"/>
  <c r="P11" i="22"/>
  <c r="O11" i="22"/>
  <c r="P10" i="22"/>
  <c r="O10" i="22"/>
  <c r="Q10" i="22" s="1"/>
  <c r="P9" i="22"/>
  <c r="O9" i="22"/>
  <c r="Q9" i="22" s="1"/>
  <c r="P8" i="22"/>
  <c r="Q8" i="22" s="1"/>
  <c r="O8" i="22"/>
  <c r="P7" i="22"/>
  <c r="O7" i="22"/>
  <c r="Q7" i="22" s="1"/>
  <c r="P6" i="22"/>
  <c r="O6" i="22"/>
  <c r="O102" i="22" s="1"/>
  <c r="Q5" i="22"/>
  <c r="P5" i="22"/>
  <c r="O5" i="22"/>
  <c r="P4" i="22"/>
  <c r="O4" i="22"/>
  <c r="Q4" i="22" s="1"/>
  <c r="P3" i="22"/>
  <c r="O3" i="22"/>
  <c r="Q3" i="22" s="1"/>
  <c r="P2" i="22"/>
  <c r="P102" i="22" s="1"/>
  <c r="O2" i="22"/>
  <c r="R101" i="21"/>
  <c r="R100" i="21"/>
  <c r="R99" i="21"/>
  <c r="R98" i="21"/>
  <c r="R97" i="21"/>
  <c r="R96" i="21"/>
  <c r="R95" i="21"/>
  <c r="R94" i="21"/>
  <c r="R93" i="21"/>
  <c r="R92" i="21"/>
  <c r="R91" i="21"/>
  <c r="R90" i="21"/>
  <c r="R89" i="21"/>
  <c r="R88" i="21"/>
  <c r="R87" i="21"/>
  <c r="R86" i="21"/>
  <c r="R85" i="21"/>
  <c r="R84" i="21"/>
  <c r="R83" i="21"/>
  <c r="R82" i="21"/>
  <c r="R81" i="21"/>
  <c r="R80" i="21"/>
  <c r="R79" i="21"/>
  <c r="R78" i="21"/>
  <c r="R77" i="21"/>
  <c r="R76" i="21"/>
  <c r="R75" i="21"/>
  <c r="R74" i="21"/>
  <c r="R73" i="21"/>
  <c r="R72" i="21"/>
  <c r="R71" i="21"/>
  <c r="R70" i="21"/>
  <c r="R69" i="21"/>
  <c r="R68" i="21"/>
  <c r="R67" i="21"/>
  <c r="R66" i="21"/>
  <c r="R65" i="21"/>
  <c r="R64" i="21"/>
  <c r="R63" i="21"/>
  <c r="R62" i="21"/>
  <c r="R61" i="21"/>
  <c r="R60" i="21"/>
  <c r="R59" i="21"/>
  <c r="R58" i="21"/>
  <c r="R57" i="21"/>
  <c r="R56" i="21"/>
  <c r="R55" i="21"/>
  <c r="R54" i="21"/>
  <c r="R53" i="21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4" i="21"/>
  <c r="R3" i="21"/>
  <c r="R2" i="21"/>
  <c r="R102" i="21" s="1"/>
  <c r="O102" i="23" l="1"/>
  <c r="M102" i="23"/>
  <c r="Q2" i="22"/>
  <c r="Q6" i="22"/>
  <c r="Q102" i="22" l="1"/>
  <c r="O104" i="20"/>
  <c r="N104" i="20"/>
  <c r="O103" i="20"/>
  <c r="N103" i="20"/>
  <c r="M103" i="20"/>
  <c r="M104" i="20" s="1"/>
  <c r="L103" i="20"/>
  <c r="L104" i="20" s="1"/>
  <c r="K103" i="20"/>
  <c r="K104" i="20" s="1"/>
  <c r="J103" i="20"/>
  <c r="J104" i="20" s="1"/>
  <c r="I103" i="20"/>
  <c r="I104" i="20" s="1"/>
  <c r="H103" i="20"/>
  <c r="G103" i="20"/>
  <c r="F103" i="20"/>
  <c r="E103" i="20"/>
  <c r="O102" i="20"/>
  <c r="N102" i="20"/>
  <c r="M102" i="20"/>
  <c r="L102" i="20"/>
  <c r="K102" i="20"/>
  <c r="J102" i="20"/>
  <c r="I102" i="20"/>
  <c r="H102" i="20"/>
  <c r="H104" i="20" s="1"/>
  <c r="G102" i="20"/>
  <c r="G104" i="20" s="1"/>
  <c r="F102" i="20"/>
  <c r="F104" i="20" s="1"/>
  <c r="E102" i="20"/>
  <c r="Q101" i="20"/>
  <c r="R101" i="20" s="1"/>
  <c r="P101" i="20"/>
  <c r="Q100" i="20"/>
  <c r="P100" i="20"/>
  <c r="R100" i="20" s="1"/>
  <c r="Q99" i="20"/>
  <c r="P99" i="20"/>
  <c r="R99" i="20" s="1"/>
  <c r="R98" i="20"/>
  <c r="Q98" i="20"/>
  <c r="P98" i="20"/>
  <c r="Q97" i="20"/>
  <c r="P97" i="20"/>
  <c r="R97" i="20" s="1"/>
  <c r="Q96" i="20"/>
  <c r="P96" i="20"/>
  <c r="R96" i="20" s="1"/>
  <c r="Q95" i="20"/>
  <c r="R95" i="20" s="1"/>
  <c r="P95" i="20"/>
  <c r="R94" i="20"/>
  <c r="Q94" i="20"/>
  <c r="P94" i="20"/>
  <c r="Q93" i="20"/>
  <c r="P93" i="20"/>
  <c r="R93" i="20" s="1"/>
  <c r="Q92" i="20"/>
  <c r="P92" i="20"/>
  <c r="R92" i="20" s="1"/>
  <c r="Q91" i="20"/>
  <c r="R91" i="20" s="1"/>
  <c r="P91" i="20"/>
  <c r="Q90" i="20"/>
  <c r="P90" i="20"/>
  <c r="R90" i="20" s="1"/>
  <c r="Q89" i="20"/>
  <c r="P89" i="20"/>
  <c r="R89" i="20" s="1"/>
  <c r="R88" i="20"/>
  <c r="Q88" i="20"/>
  <c r="P88" i="20"/>
  <c r="Q87" i="20"/>
  <c r="P87" i="20"/>
  <c r="R87" i="20" s="1"/>
  <c r="Q86" i="20"/>
  <c r="P86" i="20"/>
  <c r="R86" i="20" s="1"/>
  <c r="Q85" i="20"/>
  <c r="R85" i="20" s="1"/>
  <c r="P85" i="20"/>
  <c r="R84" i="20"/>
  <c r="Q84" i="20"/>
  <c r="P84" i="20"/>
  <c r="Q83" i="20"/>
  <c r="P83" i="20"/>
  <c r="R83" i="20" s="1"/>
  <c r="Q82" i="20"/>
  <c r="P82" i="20"/>
  <c r="R82" i="20" s="1"/>
  <c r="Q81" i="20"/>
  <c r="R81" i="20" s="1"/>
  <c r="P81" i="20"/>
  <c r="Q80" i="20"/>
  <c r="P80" i="20"/>
  <c r="R80" i="20" s="1"/>
  <c r="Q79" i="20"/>
  <c r="P79" i="20"/>
  <c r="R79" i="20" s="1"/>
  <c r="R78" i="20"/>
  <c r="Q78" i="20"/>
  <c r="P78" i="20"/>
  <c r="Q77" i="20"/>
  <c r="P77" i="20"/>
  <c r="R77" i="20" s="1"/>
  <c r="Q76" i="20"/>
  <c r="P76" i="20"/>
  <c r="R76" i="20" s="1"/>
  <c r="Q75" i="20"/>
  <c r="R75" i="20" s="1"/>
  <c r="P75" i="20"/>
  <c r="R74" i="20"/>
  <c r="Q74" i="20"/>
  <c r="P74" i="20"/>
  <c r="Q73" i="20"/>
  <c r="P73" i="20"/>
  <c r="R73" i="20" s="1"/>
  <c r="Q72" i="20"/>
  <c r="P72" i="20"/>
  <c r="R72" i="20" s="1"/>
  <c r="Q71" i="20"/>
  <c r="R71" i="20" s="1"/>
  <c r="P71" i="20"/>
  <c r="Q70" i="20"/>
  <c r="P70" i="20"/>
  <c r="R70" i="20" s="1"/>
  <c r="Q69" i="20"/>
  <c r="P69" i="20"/>
  <c r="R69" i="20" s="1"/>
  <c r="R68" i="20"/>
  <c r="Q68" i="20"/>
  <c r="P68" i="20"/>
  <c r="Q67" i="20"/>
  <c r="P67" i="20"/>
  <c r="R67" i="20" s="1"/>
  <c r="Q66" i="20"/>
  <c r="P66" i="20"/>
  <c r="R66" i="20" s="1"/>
  <c r="Q65" i="20"/>
  <c r="R65" i="20" s="1"/>
  <c r="P65" i="20"/>
  <c r="R64" i="20"/>
  <c r="Q64" i="20"/>
  <c r="P64" i="20"/>
  <c r="Q63" i="20"/>
  <c r="P63" i="20"/>
  <c r="R63" i="20" s="1"/>
  <c r="Q62" i="20"/>
  <c r="P62" i="20"/>
  <c r="R62" i="20" s="1"/>
  <c r="Q61" i="20"/>
  <c r="R61" i="20" s="1"/>
  <c r="P61" i="20"/>
  <c r="Q60" i="20"/>
  <c r="P60" i="20"/>
  <c r="R60" i="20" s="1"/>
  <c r="Q59" i="20"/>
  <c r="P59" i="20"/>
  <c r="R59" i="20" s="1"/>
  <c r="R58" i="20"/>
  <c r="Q58" i="20"/>
  <c r="P58" i="20"/>
  <c r="Q57" i="20"/>
  <c r="P57" i="20"/>
  <c r="R57" i="20" s="1"/>
  <c r="Q56" i="20"/>
  <c r="P56" i="20"/>
  <c r="R56" i="20" s="1"/>
  <c r="Q55" i="20"/>
  <c r="R55" i="20" s="1"/>
  <c r="P55" i="20"/>
  <c r="R54" i="20"/>
  <c r="Q54" i="20"/>
  <c r="P54" i="20"/>
  <c r="Q53" i="20"/>
  <c r="P53" i="20"/>
  <c r="R53" i="20" s="1"/>
  <c r="Q52" i="20"/>
  <c r="P52" i="20"/>
  <c r="R52" i="20" s="1"/>
  <c r="Q51" i="20"/>
  <c r="R51" i="20" s="1"/>
  <c r="P51" i="20"/>
  <c r="Q50" i="20"/>
  <c r="P50" i="20"/>
  <c r="R50" i="20" s="1"/>
  <c r="Q49" i="20"/>
  <c r="P49" i="20"/>
  <c r="R49" i="20" s="1"/>
  <c r="R48" i="20"/>
  <c r="Q48" i="20"/>
  <c r="P48" i="20"/>
  <c r="Q47" i="20"/>
  <c r="P47" i="20"/>
  <c r="R47" i="20" s="1"/>
  <c r="Q46" i="20"/>
  <c r="P46" i="20"/>
  <c r="R46" i="20" s="1"/>
  <c r="Q45" i="20"/>
  <c r="R45" i="20" s="1"/>
  <c r="P45" i="20"/>
  <c r="R44" i="20"/>
  <c r="Q44" i="20"/>
  <c r="P44" i="20"/>
  <c r="Q43" i="20"/>
  <c r="P43" i="20"/>
  <c r="R43" i="20" s="1"/>
  <c r="Q42" i="20"/>
  <c r="P42" i="20"/>
  <c r="R42" i="20" s="1"/>
  <c r="Q41" i="20"/>
  <c r="R41" i="20" s="1"/>
  <c r="P41" i="20"/>
  <c r="Q40" i="20"/>
  <c r="P40" i="20"/>
  <c r="R40" i="20" s="1"/>
  <c r="Q39" i="20"/>
  <c r="P39" i="20"/>
  <c r="R39" i="20" s="1"/>
  <c r="R38" i="20"/>
  <c r="Q38" i="20"/>
  <c r="P38" i="20"/>
  <c r="Q37" i="20"/>
  <c r="P37" i="20"/>
  <c r="R37" i="20" s="1"/>
  <c r="Q36" i="20"/>
  <c r="P36" i="20"/>
  <c r="R36" i="20" s="1"/>
  <c r="Q35" i="20"/>
  <c r="R35" i="20" s="1"/>
  <c r="P35" i="20"/>
  <c r="R34" i="20"/>
  <c r="Q34" i="20"/>
  <c r="P34" i="20"/>
  <c r="Q33" i="20"/>
  <c r="P33" i="20"/>
  <c r="R33" i="20" s="1"/>
  <c r="Q32" i="20"/>
  <c r="P32" i="20"/>
  <c r="R32" i="20" s="1"/>
  <c r="Q31" i="20"/>
  <c r="R31" i="20" s="1"/>
  <c r="P31" i="20"/>
  <c r="Q30" i="20"/>
  <c r="P30" i="20"/>
  <c r="R30" i="20" s="1"/>
  <c r="Q29" i="20"/>
  <c r="P29" i="20"/>
  <c r="R29" i="20" s="1"/>
  <c r="R28" i="20"/>
  <c r="Q28" i="20"/>
  <c r="P28" i="20"/>
  <c r="Q27" i="20"/>
  <c r="P27" i="20"/>
  <c r="R27" i="20" s="1"/>
  <c r="Q26" i="20"/>
  <c r="P26" i="20"/>
  <c r="R26" i="20" s="1"/>
  <c r="Q25" i="20"/>
  <c r="R25" i="20" s="1"/>
  <c r="P25" i="20"/>
  <c r="R24" i="20"/>
  <c r="Q24" i="20"/>
  <c r="P24" i="20"/>
  <c r="Q23" i="20"/>
  <c r="P23" i="20"/>
  <c r="R23" i="20" s="1"/>
  <c r="Q22" i="20"/>
  <c r="P22" i="20"/>
  <c r="R22" i="20" s="1"/>
  <c r="Q21" i="20"/>
  <c r="R21" i="20" s="1"/>
  <c r="P21" i="20"/>
  <c r="Q20" i="20"/>
  <c r="P20" i="20"/>
  <c r="R20" i="20" s="1"/>
  <c r="Q19" i="20"/>
  <c r="P19" i="20"/>
  <c r="R19" i="20" s="1"/>
  <c r="R18" i="20"/>
  <c r="Q18" i="20"/>
  <c r="P18" i="20"/>
  <c r="Q17" i="20"/>
  <c r="P17" i="20"/>
  <c r="R17" i="20" s="1"/>
  <c r="Q16" i="20"/>
  <c r="P16" i="20"/>
  <c r="R16" i="20" s="1"/>
  <c r="Q15" i="20"/>
  <c r="R15" i="20" s="1"/>
  <c r="P15" i="20"/>
  <c r="R14" i="20"/>
  <c r="Q14" i="20"/>
  <c r="P14" i="20"/>
  <c r="Q13" i="20"/>
  <c r="P13" i="20"/>
  <c r="R13" i="20" s="1"/>
  <c r="Q12" i="20"/>
  <c r="P12" i="20"/>
  <c r="R12" i="20" s="1"/>
  <c r="Q11" i="20"/>
  <c r="R11" i="20" s="1"/>
  <c r="P11" i="20"/>
  <c r="Q10" i="20"/>
  <c r="P10" i="20"/>
  <c r="R10" i="20" s="1"/>
  <c r="Q9" i="20"/>
  <c r="P9" i="20"/>
  <c r="R9" i="20" s="1"/>
  <c r="R8" i="20"/>
  <c r="Q8" i="20"/>
  <c r="P8" i="20"/>
  <c r="Q7" i="20"/>
  <c r="P7" i="20"/>
  <c r="R7" i="20" s="1"/>
  <c r="Q6" i="20"/>
  <c r="P6" i="20"/>
  <c r="R6" i="20" s="1"/>
  <c r="Q5" i="20"/>
  <c r="R5" i="20" s="1"/>
  <c r="P5" i="20"/>
  <c r="R4" i="20"/>
  <c r="Q4" i="20"/>
  <c r="P4" i="20"/>
  <c r="Q3" i="20"/>
  <c r="P3" i="20"/>
  <c r="R3" i="20" s="1"/>
  <c r="Q2" i="20"/>
  <c r="Q102" i="20" s="1"/>
  <c r="P2" i="20"/>
  <c r="R2" i="20" s="1"/>
  <c r="U2" i="19"/>
  <c r="W2" i="19" s="1"/>
  <c r="V2" i="19"/>
  <c r="U3" i="19"/>
  <c r="U104" i="19" s="1"/>
  <c r="V3" i="19"/>
  <c r="V104" i="19" s="1"/>
  <c r="U4" i="19"/>
  <c r="W4" i="19" s="1"/>
  <c r="V4" i="19"/>
  <c r="U5" i="19"/>
  <c r="W5" i="19" s="1"/>
  <c r="V5" i="19"/>
  <c r="U6" i="19"/>
  <c r="V6" i="19"/>
  <c r="W6" i="19"/>
  <c r="U7" i="19"/>
  <c r="W7" i="19" s="1"/>
  <c r="V7" i="19"/>
  <c r="U8" i="19"/>
  <c r="W8" i="19" s="1"/>
  <c r="V8" i="19"/>
  <c r="U9" i="19"/>
  <c r="V9" i="19"/>
  <c r="W9" i="19"/>
  <c r="U10" i="19"/>
  <c r="V10" i="19"/>
  <c r="W10" i="19"/>
  <c r="U11" i="19"/>
  <c r="V11" i="19"/>
  <c r="W11" i="19"/>
  <c r="U12" i="19"/>
  <c r="V12" i="19"/>
  <c r="W12" i="19" s="1"/>
  <c r="U13" i="19"/>
  <c r="V13" i="19"/>
  <c r="W13" i="19"/>
  <c r="U14" i="19"/>
  <c r="W14" i="19" s="1"/>
  <c r="V14" i="19"/>
  <c r="U15" i="19"/>
  <c r="W15" i="19" s="1"/>
  <c r="V15" i="19"/>
  <c r="U16" i="19"/>
  <c r="V16" i="19"/>
  <c r="W16" i="19"/>
  <c r="U17" i="19"/>
  <c r="W17" i="19" s="1"/>
  <c r="V17" i="19"/>
  <c r="U18" i="19"/>
  <c r="W18" i="19" s="1"/>
  <c r="V18" i="19"/>
  <c r="U19" i="19"/>
  <c r="V19" i="19"/>
  <c r="W19" i="19"/>
  <c r="U20" i="19"/>
  <c r="V20" i="19"/>
  <c r="W20" i="19"/>
  <c r="U21" i="19"/>
  <c r="V21" i="19"/>
  <c r="W21" i="19"/>
  <c r="U22" i="19"/>
  <c r="V22" i="19"/>
  <c r="W22" i="19" s="1"/>
  <c r="U23" i="19"/>
  <c r="V23" i="19"/>
  <c r="W23" i="19"/>
  <c r="U24" i="19"/>
  <c r="W24" i="19" s="1"/>
  <c r="V24" i="19"/>
  <c r="U25" i="19"/>
  <c r="W25" i="19" s="1"/>
  <c r="V25" i="19"/>
  <c r="U26" i="19"/>
  <c r="V26" i="19"/>
  <c r="W26" i="19"/>
  <c r="U27" i="19"/>
  <c r="W27" i="19" s="1"/>
  <c r="V27" i="19"/>
  <c r="U28" i="19"/>
  <c r="W28" i="19" s="1"/>
  <c r="V28" i="19"/>
  <c r="U29" i="19"/>
  <c r="V29" i="19"/>
  <c r="W29" i="19"/>
  <c r="U30" i="19"/>
  <c r="V30" i="19"/>
  <c r="W30" i="19"/>
  <c r="U31" i="19"/>
  <c r="V31" i="19"/>
  <c r="W31" i="19"/>
  <c r="U32" i="19"/>
  <c r="V32" i="19"/>
  <c r="W32" i="19" s="1"/>
  <c r="U33" i="19"/>
  <c r="V33" i="19"/>
  <c r="W33" i="19"/>
  <c r="U34" i="19"/>
  <c r="W34" i="19" s="1"/>
  <c r="V34" i="19"/>
  <c r="U35" i="19"/>
  <c r="W35" i="19" s="1"/>
  <c r="V35" i="19"/>
  <c r="U36" i="19"/>
  <c r="V36" i="19"/>
  <c r="W36" i="19"/>
  <c r="U37" i="19"/>
  <c r="W37" i="19" s="1"/>
  <c r="V37" i="19"/>
  <c r="U38" i="19"/>
  <c r="W38" i="19" s="1"/>
  <c r="V38" i="19"/>
  <c r="U39" i="19"/>
  <c r="V39" i="19"/>
  <c r="W39" i="19"/>
  <c r="U40" i="19"/>
  <c r="V40" i="19"/>
  <c r="W40" i="19"/>
  <c r="U41" i="19"/>
  <c r="V41" i="19"/>
  <c r="W41" i="19"/>
  <c r="U42" i="19"/>
  <c r="V42" i="19"/>
  <c r="W42" i="19" s="1"/>
  <c r="U43" i="19"/>
  <c r="V43" i="19"/>
  <c r="W43" i="19"/>
  <c r="U44" i="19"/>
  <c r="W44" i="19" s="1"/>
  <c r="V44" i="19"/>
  <c r="U45" i="19"/>
  <c r="W45" i="19" s="1"/>
  <c r="V45" i="19"/>
  <c r="U46" i="19"/>
  <c r="V46" i="19"/>
  <c r="W46" i="19"/>
  <c r="U47" i="19"/>
  <c r="W47" i="19" s="1"/>
  <c r="V47" i="19"/>
  <c r="U48" i="19"/>
  <c r="W48" i="19" s="1"/>
  <c r="V48" i="19"/>
  <c r="U49" i="19"/>
  <c r="V49" i="19"/>
  <c r="W49" i="19"/>
  <c r="U50" i="19"/>
  <c r="V50" i="19"/>
  <c r="W50" i="19"/>
  <c r="U51" i="19"/>
  <c r="V51" i="19"/>
  <c r="W51" i="19"/>
  <c r="U52" i="19"/>
  <c r="V52" i="19"/>
  <c r="W52" i="19" s="1"/>
  <c r="U53" i="19"/>
  <c r="V53" i="19"/>
  <c r="W53" i="19"/>
  <c r="U54" i="19"/>
  <c r="W54" i="19" s="1"/>
  <c r="V54" i="19"/>
  <c r="U55" i="19"/>
  <c r="W55" i="19" s="1"/>
  <c r="V55" i="19"/>
  <c r="U56" i="19"/>
  <c r="V56" i="19"/>
  <c r="W56" i="19"/>
  <c r="U57" i="19"/>
  <c r="W57" i="19" s="1"/>
  <c r="V57" i="19"/>
  <c r="U58" i="19"/>
  <c r="W58" i="19" s="1"/>
  <c r="V58" i="19"/>
  <c r="U59" i="19"/>
  <c r="V59" i="19"/>
  <c r="W59" i="19"/>
  <c r="U60" i="19"/>
  <c r="V60" i="19"/>
  <c r="W60" i="19"/>
  <c r="U61" i="19"/>
  <c r="V61" i="19"/>
  <c r="W61" i="19"/>
  <c r="U62" i="19"/>
  <c r="V62" i="19"/>
  <c r="W62" i="19" s="1"/>
  <c r="U63" i="19"/>
  <c r="V63" i="19"/>
  <c r="W63" i="19"/>
  <c r="U64" i="19"/>
  <c r="W64" i="19" s="1"/>
  <c r="V64" i="19"/>
  <c r="U65" i="19"/>
  <c r="W65" i="19" s="1"/>
  <c r="V65" i="19"/>
  <c r="U66" i="19"/>
  <c r="V66" i="19"/>
  <c r="W66" i="19"/>
  <c r="U67" i="19"/>
  <c r="W67" i="19" s="1"/>
  <c r="V67" i="19"/>
  <c r="U68" i="19"/>
  <c r="W68" i="19" s="1"/>
  <c r="V68" i="19"/>
  <c r="U69" i="19"/>
  <c r="V69" i="19"/>
  <c r="W69" i="19"/>
  <c r="U70" i="19"/>
  <c r="V70" i="19"/>
  <c r="W70" i="19"/>
  <c r="U71" i="19"/>
  <c r="V71" i="19"/>
  <c r="W71" i="19"/>
  <c r="U72" i="19"/>
  <c r="V72" i="19"/>
  <c r="W72" i="19" s="1"/>
  <c r="U73" i="19"/>
  <c r="V73" i="19"/>
  <c r="W73" i="19"/>
  <c r="U74" i="19"/>
  <c r="W74" i="19" s="1"/>
  <c r="V74" i="19"/>
  <c r="U75" i="19"/>
  <c r="W75" i="19" s="1"/>
  <c r="V75" i="19"/>
  <c r="U76" i="19"/>
  <c r="V76" i="19"/>
  <c r="W76" i="19"/>
  <c r="U77" i="19"/>
  <c r="W77" i="19" s="1"/>
  <c r="V77" i="19"/>
  <c r="U78" i="19"/>
  <c r="W78" i="19" s="1"/>
  <c r="V78" i="19"/>
  <c r="U79" i="19"/>
  <c r="V79" i="19"/>
  <c r="W79" i="19"/>
  <c r="U80" i="19"/>
  <c r="V80" i="19"/>
  <c r="W80" i="19"/>
  <c r="U81" i="19"/>
  <c r="V81" i="19"/>
  <c r="W81" i="19"/>
  <c r="U82" i="19"/>
  <c r="V82" i="19"/>
  <c r="W82" i="19" s="1"/>
  <c r="U83" i="19"/>
  <c r="V83" i="19"/>
  <c r="W83" i="19"/>
  <c r="U84" i="19"/>
  <c r="W84" i="19" s="1"/>
  <c r="V84" i="19"/>
  <c r="U85" i="19"/>
  <c r="W85" i="19" s="1"/>
  <c r="V85" i="19"/>
  <c r="U86" i="19"/>
  <c r="V86" i="19"/>
  <c r="W86" i="19"/>
  <c r="U87" i="19"/>
  <c r="W87" i="19" s="1"/>
  <c r="V87" i="19"/>
  <c r="U88" i="19"/>
  <c r="W88" i="19" s="1"/>
  <c r="V88" i="19"/>
  <c r="U89" i="19"/>
  <c r="V89" i="19"/>
  <c r="W89" i="19"/>
  <c r="U90" i="19"/>
  <c r="V90" i="19"/>
  <c r="W90" i="19"/>
  <c r="U91" i="19"/>
  <c r="V91" i="19"/>
  <c r="W91" i="19"/>
  <c r="U92" i="19"/>
  <c r="V92" i="19"/>
  <c r="W92" i="19" s="1"/>
  <c r="U93" i="19"/>
  <c r="V93" i="19"/>
  <c r="W93" i="19"/>
  <c r="U94" i="19"/>
  <c r="W94" i="19" s="1"/>
  <c r="V94" i="19"/>
  <c r="U95" i="19"/>
  <c r="W95" i="19" s="1"/>
  <c r="V95" i="19"/>
  <c r="U96" i="19"/>
  <c r="V96" i="19"/>
  <c r="W96" i="19"/>
  <c r="U97" i="19"/>
  <c r="W97" i="19" s="1"/>
  <c r="V97" i="19"/>
  <c r="U98" i="19"/>
  <c r="W98" i="19" s="1"/>
  <c r="V98" i="19"/>
  <c r="U99" i="19"/>
  <c r="V99" i="19"/>
  <c r="W99" i="19"/>
  <c r="U100" i="19"/>
  <c r="V100" i="19"/>
  <c r="W100" i="19"/>
  <c r="U101" i="19"/>
  <c r="V101" i="19"/>
  <c r="W101" i="19"/>
  <c r="E102" i="19"/>
  <c r="F102" i="19"/>
  <c r="G102" i="19"/>
  <c r="H102" i="19"/>
  <c r="H104" i="19" s="1"/>
  <c r="I102" i="19"/>
  <c r="I104" i="19" s="1"/>
  <c r="J102" i="19"/>
  <c r="K102" i="19"/>
  <c r="K104" i="19" s="1"/>
  <c r="L102" i="19"/>
  <c r="M102" i="19"/>
  <c r="M104" i="19" s="1"/>
  <c r="N102" i="19"/>
  <c r="N104" i="19" s="1"/>
  <c r="O102" i="19"/>
  <c r="P102" i="19"/>
  <c r="Q102" i="19"/>
  <c r="R102" i="19"/>
  <c r="R104" i="19" s="1"/>
  <c r="S102" i="19"/>
  <c r="S104" i="19" s="1"/>
  <c r="T102" i="19"/>
  <c r="E103" i="19"/>
  <c r="F103" i="19"/>
  <c r="G103" i="19"/>
  <c r="H103" i="19"/>
  <c r="I103" i="19"/>
  <c r="J103" i="19"/>
  <c r="K103" i="19"/>
  <c r="L103" i="19"/>
  <c r="L104" i="19" s="1"/>
  <c r="M103" i="19"/>
  <c r="N103" i="19"/>
  <c r="O103" i="19"/>
  <c r="O104" i="19" s="1"/>
  <c r="P103" i="19"/>
  <c r="Q103" i="19"/>
  <c r="R103" i="19"/>
  <c r="S103" i="19"/>
  <c r="T103" i="19"/>
  <c r="F104" i="19"/>
  <c r="G104" i="19"/>
  <c r="J104" i="19"/>
  <c r="P104" i="19"/>
  <c r="Q104" i="19"/>
  <c r="T104" i="19"/>
  <c r="U2" i="18"/>
  <c r="U3" i="18"/>
  <c r="U4" i="18"/>
  <c r="U5" i="18"/>
  <c r="U102" i="18" s="1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R104" i="20" l="1"/>
  <c r="R102" i="20"/>
  <c r="P102" i="20"/>
  <c r="P104" i="20"/>
  <c r="Q104" i="20"/>
  <c r="V102" i="19"/>
  <c r="W3" i="19"/>
  <c r="W104" i="19" s="1"/>
  <c r="U102" i="19"/>
  <c r="W102" i="19" l="1"/>
  <c r="M102" i="17" l="1"/>
  <c r="L102" i="17"/>
  <c r="K102" i="17"/>
  <c r="J102" i="17"/>
  <c r="I102" i="17"/>
  <c r="H102" i="17"/>
  <c r="G102" i="17"/>
  <c r="F102" i="17"/>
  <c r="E102" i="17"/>
  <c r="D102" i="17"/>
  <c r="C102" i="17"/>
  <c r="N101" i="17" s="1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N80" i="17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N102" i="17" s="1"/>
  <c r="AJ104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AJ102" i="16"/>
  <c r="AJ101" i="16"/>
  <c r="AJ100" i="16"/>
  <c r="AJ99" i="16"/>
  <c r="AJ98" i="16"/>
  <c r="AJ97" i="16"/>
  <c r="AJ96" i="16"/>
  <c r="AJ95" i="16"/>
  <c r="AJ94" i="16"/>
  <c r="AJ93" i="16"/>
  <c r="AJ92" i="16"/>
  <c r="AJ91" i="16"/>
  <c r="AJ90" i="16"/>
  <c r="AJ89" i="16"/>
  <c r="AJ88" i="16"/>
  <c r="AJ87" i="16"/>
  <c r="AJ86" i="16"/>
  <c r="AJ85" i="16"/>
  <c r="AJ84" i="16"/>
  <c r="AJ83" i="16"/>
  <c r="AJ82" i="16"/>
  <c r="AJ81" i="16"/>
  <c r="AJ80" i="16"/>
  <c r="AJ79" i="16"/>
  <c r="AJ78" i="16"/>
  <c r="AJ77" i="16"/>
  <c r="AJ76" i="16"/>
  <c r="AJ75" i="16"/>
  <c r="AJ74" i="16"/>
  <c r="AJ73" i="16"/>
  <c r="AJ72" i="16"/>
  <c r="AJ71" i="16"/>
  <c r="AJ70" i="16"/>
  <c r="AJ69" i="16"/>
  <c r="AJ68" i="16"/>
  <c r="AJ67" i="16"/>
  <c r="AJ66" i="16"/>
  <c r="AJ65" i="16"/>
  <c r="AJ64" i="16"/>
  <c r="AJ63" i="16"/>
  <c r="AJ62" i="16"/>
  <c r="AJ61" i="16"/>
  <c r="AJ60" i="16"/>
  <c r="AJ59" i="16"/>
  <c r="AJ58" i="16"/>
  <c r="AJ57" i="16"/>
  <c r="AJ56" i="16"/>
  <c r="AJ55" i="16"/>
  <c r="AJ54" i="16"/>
  <c r="AJ53" i="16"/>
  <c r="AJ52" i="16"/>
  <c r="AJ51" i="16"/>
  <c r="AJ50" i="16"/>
  <c r="AJ49" i="16"/>
  <c r="AJ48" i="16"/>
  <c r="AJ47" i="16"/>
  <c r="AJ46" i="16"/>
  <c r="AJ45" i="16"/>
  <c r="AJ44" i="16"/>
  <c r="AJ43" i="16"/>
  <c r="AJ42" i="16"/>
  <c r="AJ41" i="16"/>
  <c r="AJ40" i="16"/>
  <c r="AJ39" i="16"/>
  <c r="AJ38" i="16"/>
  <c r="AJ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5" i="16"/>
  <c r="AJ4" i="16"/>
  <c r="AJ3" i="16"/>
  <c r="AJ103" i="16" s="1"/>
  <c r="CX102" i="14" l="1"/>
  <c r="CX101" i="14"/>
  <c r="CX100" i="14"/>
  <c r="CX99" i="14"/>
  <c r="CX98" i="14"/>
  <c r="CX97" i="14"/>
  <c r="CX96" i="14"/>
  <c r="CX95" i="14"/>
  <c r="CX94" i="14"/>
  <c r="CX93" i="14"/>
  <c r="CX92" i="14"/>
  <c r="CX91" i="14"/>
  <c r="CX90" i="14"/>
  <c r="CX89" i="14"/>
  <c r="CX88" i="14"/>
  <c r="CX87" i="14"/>
  <c r="CX86" i="14"/>
  <c r="CX85" i="14"/>
  <c r="CX84" i="14"/>
  <c r="CX83" i="14"/>
  <c r="CX82" i="14"/>
  <c r="CX81" i="14"/>
  <c r="CX80" i="14"/>
  <c r="CX79" i="14"/>
  <c r="CX78" i="14"/>
  <c r="CX77" i="14"/>
  <c r="CX76" i="14"/>
  <c r="CX75" i="14"/>
  <c r="CX74" i="14"/>
  <c r="CX73" i="14"/>
  <c r="CX72" i="14"/>
  <c r="CX71" i="14"/>
  <c r="CX70" i="14"/>
  <c r="CX69" i="14"/>
  <c r="CX68" i="14"/>
  <c r="CX67" i="14"/>
  <c r="CX66" i="14"/>
  <c r="CX65" i="14"/>
  <c r="CX64" i="14"/>
  <c r="CX63" i="14"/>
  <c r="CX62" i="14"/>
  <c r="CX61" i="14"/>
  <c r="CX60" i="14"/>
  <c r="CX59" i="14"/>
  <c r="CX58" i="14"/>
  <c r="CX57" i="14"/>
  <c r="CX56" i="14"/>
  <c r="CX55" i="14"/>
  <c r="CX54" i="14"/>
  <c r="CX53" i="14"/>
  <c r="CX52" i="14"/>
  <c r="CX51" i="14"/>
  <c r="CX50" i="14"/>
  <c r="CX49" i="14"/>
  <c r="CX48" i="14"/>
  <c r="CX47" i="14"/>
  <c r="CX46" i="14"/>
  <c r="CX45" i="14"/>
  <c r="CX44" i="14"/>
  <c r="CX43" i="14"/>
  <c r="CX42" i="14"/>
  <c r="CX41" i="14"/>
  <c r="CX40" i="14"/>
  <c r="CX39" i="14"/>
  <c r="CX38" i="14"/>
  <c r="CX37" i="14"/>
  <c r="CX36" i="14"/>
  <c r="CX35" i="14"/>
  <c r="CX34" i="14"/>
  <c r="CX33" i="14"/>
  <c r="CX32" i="14"/>
  <c r="CX31" i="14"/>
  <c r="CX30" i="14"/>
  <c r="CX29" i="14"/>
  <c r="CX28" i="14"/>
  <c r="CX27" i="14"/>
  <c r="CX26" i="14"/>
  <c r="CX25" i="14"/>
  <c r="CX24" i="14"/>
  <c r="CX23" i="14"/>
  <c r="CX22" i="14"/>
  <c r="CX21" i="14"/>
  <c r="CX20" i="14"/>
  <c r="CX19" i="14"/>
  <c r="CX18" i="14"/>
  <c r="CX17" i="14"/>
  <c r="CX16" i="14"/>
  <c r="CX15" i="14"/>
  <c r="CX14" i="14"/>
  <c r="CX13" i="14"/>
  <c r="CX12" i="14"/>
  <c r="CX11" i="14"/>
  <c r="CX10" i="14"/>
  <c r="CX9" i="14"/>
  <c r="CX8" i="14"/>
  <c r="CX7" i="14"/>
  <c r="CX6" i="14"/>
  <c r="CX5" i="14"/>
  <c r="CX4" i="14"/>
  <c r="CX3" i="14"/>
  <c r="CX103" i="14" s="1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AC104" i="12" s="1"/>
  <c r="AC102" i="12"/>
  <c r="AC101" i="12"/>
  <c r="AC100" i="12"/>
  <c r="AC99" i="12"/>
  <c r="AC98" i="12"/>
  <c r="AC97" i="12"/>
  <c r="AC96" i="12"/>
  <c r="AC95" i="12"/>
  <c r="AC94" i="12"/>
  <c r="AC93" i="12"/>
  <c r="AC92" i="12"/>
  <c r="AC91" i="12"/>
  <c r="AC90" i="12"/>
  <c r="AC89" i="12"/>
  <c r="AC88" i="12"/>
  <c r="AC87" i="12"/>
  <c r="AC86" i="12"/>
  <c r="AC85" i="12"/>
  <c r="AC84" i="12"/>
  <c r="AC83" i="12"/>
  <c r="AC82" i="12"/>
  <c r="AC81" i="12"/>
  <c r="AC80" i="12"/>
  <c r="AC79" i="12"/>
  <c r="AC78" i="12"/>
  <c r="AC77" i="12"/>
  <c r="AC76" i="12"/>
  <c r="AC75" i="12"/>
  <c r="AC74" i="12"/>
  <c r="AC73" i="12"/>
  <c r="AC72" i="12"/>
  <c r="AC71" i="12"/>
  <c r="AC70" i="12"/>
  <c r="AC69" i="12"/>
  <c r="AC68" i="12"/>
  <c r="AC67" i="12"/>
  <c r="AC66" i="12"/>
  <c r="AC65" i="12"/>
  <c r="AC64" i="12"/>
  <c r="AC63" i="12"/>
  <c r="AC62" i="12"/>
  <c r="AC61" i="12"/>
  <c r="AC60" i="12"/>
  <c r="AC59" i="12"/>
  <c r="AC58" i="12"/>
  <c r="AC57" i="12"/>
  <c r="AC56" i="12"/>
  <c r="AC55" i="12"/>
  <c r="AC54" i="12"/>
  <c r="AC53" i="12"/>
  <c r="AC52" i="12"/>
  <c r="AC51" i="12"/>
  <c r="AC50" i="12"/>
  <c r="AC49" i="12"/>
  <c r="AC48" i="12"/>
  <c r="AC47" i="12"/>
  <c r="AC46" i="12"/>
  <c r="AC45" i="12"/>
  <c r="AC44" i="12"/>
  <c r="AC43" i="12"/>
  <c r="AC42" i="12"/>
  <c r="AC41" i="12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21" i="12"/>
  <c r="AC20" i="12"/>
  <c r="AC19" i="12"/>
  <c r="AC18" i="12"/>
  <c r="AC17" i="12"/>
  <c r="AC16" i="12"/>
  <c r="AC15" i="12"/>
  <c r="AC14" i="12"/>
  <c r="AC13" i="12"/>
  <c r="AC12" i="12"/>
  <c r="AC11" i="12"/>
  <c r="AC10" i="12"/>
  <c r="AC9" i="12"/>
  <c r="AC8" i="12"/>
  <c r="AC7" i="12"/>
  <c r="AC6" i="12"/>
  <c r="AC5" i="12"/>
  <c r="AC4" i="12"/>
  <c r="AC3" i="12"/>
  <c r="AC103" i="12" s="1"/>
  <c r="R102" i="11" l="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S102" i="11" s="1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Y102" i="10"/>
  <c r="CY101" i="10"/>
  <c r="CY100" i="10"/>
  <c r="CY99" i="10"/>
  <c r="CY98" i="10"/>
  <c r="CY97" i="10"/>
  <c r="CY96" i="10"/>
  <c r="CY95" i="10"/>
  <c r="CY94" i="10"/>
  <c r="CY93" i="10"/>
  <c r="CY92" i="10"/>
  <c r="CY91" i="10"/>
  <c r="CY90" i="10"/>
  <c r="CY89" i="10"/>
  <c r="CY88" i="10"/>
  <c r="CY87" i="10"/>
  <c r="CY86" i="10"/>
  <c r="CY85" i="10"/>
  <c r="CY84" i="10"/>
  <c r="CY83" i="10"/>
  <c r="CY82" i="10"/>
  <c r="CY81" i="10"/>
  <c r="CY80" i="10"/>
  <c r="CY79" i="10"/>
  <c r="CY78" i="10"/>
  <c r="CY77" i="10"/>
  <c r="CY76" i="10"/>
  <c r="CY75" i="10"/>
  <c r="CY74" i="10"/>
  <c r="CY73" i="10"/>
  <c r="CY72" i="10"/>
  <c r="CY71" i="10"/>
  <c r="CY70" i="10"/>
  <c r="CY69" i="10"/>
  <c r="CY68" i="10"/>
  <c r="CY67" i="10"/>
  <c r="CY66" i="10"/>
  <c r="CY65" i="10"/>
  <c r="CY64" i="10"/>
  <c r="CY63" i="10"/>
  <c r="CY62" i="10"/>
  <c r="CY61" i="10"/>
  <c r="CY60" i="10"/>
  <c r="CY59" i="10"/>
  <c r="CY58" i="10"/>
  <c r="CY57" i="10"/>
  <c r="CY56" i="10"/>
  <c r="CY55" i="10"/>
  <c r="CY54" i="10"/>
  <c r="CY53" i="10"/>
  <c r="CY52" i="10"/>
  <c r="CY51" i="10"/>
  <c r="CY50" i="10"/>
  <c r="CY49" i="10"/>
  <c r="CY48" i="10"/>
  <c r="CY47" i="10"/>
  <c r="CY46" i="10"/>
  <c r="CY45" i="10"/>
  <c r="CY44" i="10"/>
  <c r="CY43" i="10"/>
  <c r="CY42" i="10"/>
  <c r="CY41" i="10"/>
  <c r="CY40" i="10"/>
  <c r="CY39" i="10"/>
  <c r="CY38" i="10"/>
  <c r="CY37" i="10"/>
  <c r="CY36" i="10"/>
  <c r="CY35" i="10"/>
  <c r="CY34" i="10"/>
  <c r="CY33" i="10"/>
  <c r="CY32" i="10"/>
  <c r="CY31" i="10"/>
  <c r="CY30" i="10"/>
  <c r="CY29" i="10"/>
  <c r="CY28" i="10"/>
  <c r="CY27" i="10"/>
  <c r="CY26" i="10"/>
  <c r="CY25" i="10"/>
  <c r="CY24" i="10"/>
  <c r="CY23" i="10"/>
  <c r="CY22" i="10"/>
  <c r="CY21" i="10"/>
  <c r="CY20" i="10"/>
  <c r="CY19" i="10"/>
  <c r="CY18" i="10"/>
  <c r="CY17" i="10"/>
  <c r="CY16" i="10"/>
  <c r="CY15" i="10"/>
  <c r="CY14" i="10"/>
  <c r="CY13" i="10"/>
  <c r="CY12" i="10"/>
  <c r="CY11" i="10"/>
  <c r="CY10" i="10"/>
  <c r="CY9" i="10"/>
  <c r="CY8" i="10"/>
  <c r="CY7" i="10"/>
  <c r="CY6" i="10"/>
  <c r="CY5" i="10"/>
  <c r="CY4" i="10"/>
  <c r="CY3" i="10"/>
  <c r="CY103" i="10" s="1"/>
  <c r="L3" i="7"/>
  <c r="L4" i="7"/>
  <c r="L5" i="7"/>
  <c r="L6" i="7"/>
  <c r="L7" i="7"/>
  <c r="L2" i="7"/>
  <c r="Q3" i="6"/>
  <c r="Q4" i="6"/>
  <c r="Q5" i="6"/>
  <c r="Q6" i="6"/>
  <c r="Q7" i="6"/>
  <c r="Q2" i="6"/>
  <c r="E102" i="2"/>
  <c r="N7" i="7"/>
  <c r="M7" i="7"/>
  <c r="V3" i="8"/>
  <c r="V2" i="8"/>
  <c r="W2" i="8"/>
  <c r="N3" i="7"/>
  <c r="N4" i="7"/>
  <c r="N5" i="7"/>
  <c r="N6" i="7"/>
  <c r="N2" i="7"/>
  <c r="S2" i="6"/>
  <c r="S3" i="6"/>
  <c r="S4" i="6"/>
  <c r="S5" i="6"/>
  <c r="S6" i="6"/>
  <c r="S7" i="6"/>
  <c r="CX3" i="5"/>
  <c r="CX2" i="5"/>
  <c r="CW3" i="5"/>
  <c r="AJ2" i="3"/>
  <c r="AJ3" i="3"/>
  <c r="AI3" i="3"/>
  <c r="AI2" i="3"/>
  <c r="CW2" i="5"/>
  <c r="W3" i="8"/>
  <c r="M3" i="7" l="1"/>
  <c r="M4" i="7"/>
  <c r="M5" i="7"/>
  <c r="M6" i="7"/>
  <c r="M2" i="7"/>
  <c r="R7" i="6"/>
  <c r="R5" i="6"/>
  <c r="R3" i="6"/>
  <c r="R4" i="6"/>
  <c r="R6" i="6"/>
  <c r="R2" i="6"/>
</calcChain>
</file>

<file path=xl/sharedStrings.xml><?xml version="1.0" encoding="utf-8"?>
<sst xmlns="http://schemas.openxmlformats.org/spreadsheetml/2006/main" count="15762" uniqueCount="657">
  <si>
    <t>google</t>
  </si>
  <si>
    <t>mail.ru</t>
  </si>
  <si>
    <t>microsoft</t>
  </si>
  <si>
    <t>gtld-servers</t>
  </si>
  <si>
    <t>facebook</t>
  </si>
  <si>
    <t>cloudflare</t>
  </si>
  <si>
    <t>apple</t>
  </si>
  <si>
    <t>amazonaws</t>
  </si>
  <si>
    <t>dzen.ru</t>
  </si>
  <si>
    <t>instagram</t>
  </si>
  <si>
    <t>akamai</t>
  </si>
  <si>
    <t>twitter</t>
  </si>
  <si>
    <t>linkedin</t>
  </si>
  <si>
    <t>amazon</t>
  </si>
  <si>
    <t>azure</t>
  </si>
  <si>
    <t>wikipedia</t>
  </si>
  <si>
    <t>github</t>
  </si>
  <si>
    <t>digicert</t>
  </si>
  <si>
    <t>netflix</t>
  </si>
  <si>
    <t>whatsapp</t>
  </si>
  <si>
    <t>fastly</t>
  </si>
  <si>
    <t>godaddy</t>
  </si>
  <si>
    <t>wordpress</t>
  </si>
  <si>
    <t>e2ro</t>
  </si>
  <si>
    <t>appsflyersdk</t>
  </si>
  <si>
    <t>pinterest</t>
  </si>
  <si>
    <t>yahoo</t>
  </si>
  <si>
    <t>gandi</t>
  </si>
  <si>
    <t>spotify</t>
  </si>
  <si>
    <t>tiktok</t>
  </si>
  <si>
    <t>ntp</t>
  </si>
  <si>
    <t>vimeo</t>
  </si>
  <si>
    <t>adobe</t>
  </si>
  <si>
    <t>venmo</t>
  </si>
  <si>
    <t>roblox</t>
  </si>
  <si>
    <t>chatgpt</t>
  </si>
  <si>
    <t>zoom</t>
  </si>
  <si>
    <t>nic.ru</t>
  </si>
  <si>
    <t>qq</t>
  </si>
  <si>
    <t>nginx</t>
  </si>
  <si>
    <t>opera</t>
  </si>
  <si>
    <t>baidu</t>
  </si>
  <si>
    <t>samsung</t>
  </si>
  <si>
    <t>bit.ly</t>
  </si>
  <si>
    <t>intuit</t>
  </si>
  <si>
    <t>okcdn.ru</t>
  </si>
  <si>
    <t>ui</t>
  </si>
  <si>
    <t>sentry</t>
  </si>
  <si>
    <t>windows</t>
  </si>
  <si>
    <t>mozilla</t>
  </si>
  <si>
    <t>reddit</t>
  </si>
  <si>
    <t>unity3d</t>
  </si>
  <si>
    <t>paypal</t>
  </si>
  <si>
    <t>vk</t>
  </si>
  <si>
    <t>blogspot</t>
  </si>
  <si>
    <t>t</t>
  </si>
  <si>
    <t>europa</t>
  </si>
  <si>
    <t>snapchat</t>
  </si>
  <si>
    <t>discord</t>
  </si>
  <si>
    <t>m365.cloud.microsoft</t>
  </si>
  <si>
    <t>netify</t>
  </si>
  <si>
    <t>apache</t>
  </si>
  <si>
    <t>epicgames</t>
  </si>
  <si>
    <t>trbcdn</t>
  </si>
  <si>
    <t>amazonvideo</t>
  </si>
  <si>
    <t>outlook</t>
  </si>
  <si>
    <t>dropbox</t>
  </si>
  <si>
    <t>0xrpc</t>
  </si>
  <si>
    <t>criteo</t>
  </si>
  <si>
    <t>xiaomi</t>
  </si>
  <si>
    <t>archive</t>
  </si>
  <si>
    <t>applovin</t>
  </si>
  <si>
    <t>tumblr</t>
  </si>
  <si>
    <t>f5</t>
  </si>
  <si>
    <t>miui</t>
  </si>
  <si>
    <t>cpanel</t>
  </si>
  <si>
    <t>demdex</t>
  </si>
  <si>
    <t>doi</t>
  </si>
  <si>
    <t>merkle</t>
  </si>
  <si>
    <t>roku</t>
  </si>
  <si>
    <t>doubleverify</t>
  </si>
  <si>
    <t>scorecardresearch</t>
  </si>
  <si>
    <t>imdb</t>
  </si>
  <si>
    <t>indexexchange</t>
  </si>
  <si>
    <t>linktr</t>
  </si>
  <si>
    <t>wix</t>
  </si>
  <si>
    <t>hubspot</t>
  </si>
  <si>
    <t>yandex</t>
  </si>
  <si>
    <t>salesforce</t>
  </si>
  <si>
    <t>hp</t>
  </si>
  <si>
    <t>stripe</t>
  </si>
  <si>
    <t>inmobi</t>
  </si>
  <si>
    <t>mikrotik</t>
  </si>
  <si>
    <t>googleapis</t>
  </si>
  <si>
    <t>samsungcloud</t>
  </si>
  <si>
    <t>grammarly</t>
  </si>
  <si>
    <t>moe.video</t>
  </si>
  <si>
    <t>kaspersky</t>
  </si>
  <si>
    <t>slack</t>
  </si>
  <si>
    <t>API (Claude)</t>
  </si>
  <si>
    <t>Navigator.appCodeName</t>
  </si>
  <si>
    <t>Navigator.appName</t>
  </si>
  <si>
    <t>Navigator.appVersion</t>
  </si>
  <si>
    <t>Navigator.buildID</t>
  </si>
  <si>
    <t>Navigator.oscpu</t>
  </si>
  <si>
    <t>Navigator.platform</t>
  </si>
  <si>
    <t>Navigator.product</t>
  </si>
  <si>
    <t>Navigator.productSub</t>
  </si>
  <si>
    <t>Navigator.userAgent</t>
  </si>
  <si>
    <t>Navigator.language</t>
  </si>
  <si>
    <t>HTMLElement.offsetHeight</t>
  </si>
  <si>
    <t>HTMLElement.offsetWidth</t>
  </si>
  <si>
    <t>Screen.availHeight</t>
  </si>
  <si>
    <t>Screen.availWidth</t>
  </si>
  <si>
    <t>Screen.colorDepth</t>
  </si>
  <si>
    <t>Screen.height</t>
  </si>
  <si>
    <t>Screen.pixelDepth</t>
  </si>
  <si>
    <t>Screen.width</t>
  </si>
  <si>
    <t>Navigator.hardwareConcurrency</t>
  </si>
  <si>
    <t>Navigator.maxTouchPoints</t>
  </si>
  <si>
    <t>HTMLCanvasElement.toDataURL</t>
  </si>
  <si>
    <t>WebGLRenderingContext.getParameter</t>
  </si>
  <si>
    <t>AudioDestinationNode.maxChannelCount</t>
  </si>
  <si>
    <t>document.cookie</t>
  </si>
  <si>
    <t>WebSocket.send</t>
  </si>
  <si>
    <t>XMLHttpRequest.send</t>
  </si>
  <si>
    <t>fetch.body</t>
  </si>
  <si>
    <t>fetch.url</t>
  </si>
  <si>
    <t>iframe.src</t>
  </si>
  <si>
    <t>img.src</t>
  </si>
  <si>
    <t>script.src</t>
  </si>
  <si>
    <t>History.length</t>
  </si>
  <si>
    <t>Navigator.doNotTrack</t>
  </si>
  <si>
    <t>Total (Claude)</t>
  </si>
  <si>
    <t>Network / Headers / Client Hints</t>
  </si>
  <si>
    <t>Behavioral / Environment / Automation Checks</t>
  </si>
  <si>
    <t>Cat (Claude)</t>
  </si>
  <si>
    <t>Cat (GPT)</t>
  </si>
  <si>
    <t>NavigatorBasic</t>
  </si>
  <si>
    <t>NavigatorFlags</t>
  </si>
  <si>
    <t>NavigatorHardware</t>
  </si>
  <si>
    <t>LocalizationInfo</t>
  </si>
  <si>
    <t>TimeInfo</t>
  </si>
  <si>
    <t>ScreenInfo</t>
  </si>
  <si>
    <t>WindowInfo</t>
  </si>
  <si>
    <t>StorageInfo</t>
  </si>
  <si>
    <t>PermissionsInfo</t>
  </si>
  <si>
    <t>BrowserProperties</t>
  </si>
  <si>
    <t>CanvasFingerprint</t>
  </si>
  <si>
    <t>CanvasFontEnum</t>
  </si>
  <si>
    <t>WebGLFingerprint</t>
  </si>
  <si>
    <t>AudioFingerprint</t>
  </si>
  <si>
    <t>WebRTCFingerprint</t>
  </si>
  <si>
    <t>Total (GPT)</t>
  </si>
  <si>
    <t>Total (Calude)</t>
  </si>
  <si>
    <t>Navigator.prototype.appCodeName</t>
  </si>
  <si>
    <t>Navigator.prototype.appVersion</t>
  </si>
  <si>
    <t>Navigator.prototype.platform</t>
  </si>
  <si>
    <t>Navigator.prototype.product</t>
  </si>
  <si>
    <t>Navigator.prototype.productSub</t>
  </si>
  <si>
    <t>Navigator.prototype.userAgent</t>
  </si>
  <si>
    <t>Navigator.prototype.vendor</t>
  </si>
  <si>
    <t>Navigator.prototype.vendorSub</t>
  </si>
  <si>
    <t>Navigator.prototype.cookieEnabled</t>
  </si>
  <si>
    <t>Navigator.prototype.doNotTrack</t>
  </si>
  <si>
    <t>Navigator.prototype.deviceMemory</t>
  </si>
  <si>
    <t>Navigator.prototype.hardwareConcurrency</t>
  </si>
  <si>
    <t>Navigator.prototype.maxTouchPoints</t>
  </si>
  <si>
    <t>Date.prototype.getTimezoneOffset</t>
  </si>
  <si>
    <t>Intl.DateTimeFormat.prototype.resolvedOptions</t>
  </si>
  <si>
    <t>Keyboard.prototype.getLayoutMap</t>
  </si>
  <si>
    <t>Navigator.prototype.language</t>
  </si>
  <si>
    <t>Navigator.prototype.languages</t>
  </si>
  <si>
    <t>Date.now</t>
  </si>
  <si>
    <t>Performance.prototype.now</t>
  </si>
  <si>
    <t>Screen.prototype.availHeight</t>
  </si>
  <si>
    <t>Screen.prototype.availLeft</t>
  </si>
  <si>
    <t>Screen.prototype.availTop</t>
  </si>
  <si>
    <t>Screen.prototype.availWidth</t>
  </si>
  <si>
    <t>Screen.prototype.colorDepth</t>
  </si>
  <si>
    <t>Screen.prototype.height</t>
  </si>
  <si>
    <t>Screen.prototype.pixelDepth</t>
  </si>
  <si>
    <t>Screen.prototype.width</t>
  </si>
  <si>
    <t>window.devicePixelRatio</t>
  </si>
  <si>
    <t>window.innerHeight</t>
  </si>
  <si>
    <t>window.innerWidth</t>
  </si>
  <si>
    <t>window.outerHeight</t>
  </si>
  <si>
    <t>window.outerWidth</t>
  </si>
  <si>
    <t>window.indexedDB</t>
  </si>
  <si>
    <t>window.localStorage</t>
  </si>
  <si>
    <t>window.sessionStorage</t>
  </si>
  <si>
    <t>Permissions.prototype.query</t>
  </si>
  <si>
    <t>HTMLMediaElement.prototype.canPlayType</t>
  </si>
  <si>
    <t>MediaDevices.prototype.enumerateDevices</t>
  </si>
  <si>
    <t>Navigator.prototype.plugins</t>
  </si>
  <si>
    <t>CanvasRenderingContext2D.prototype.beginPath</t>
  </si>
  <si>
    <t>CanvasRenderingContext2D.prototype.closePath</t>
  </si>
  <si>
    <t>CanvasRenderingContext2D.prototype.fillRect</t>
  </si>
  <si>
    <t>CanvasRenderingContext2D.prototype.fillStyle</t>
  </si>
  <si>
    <t>CanvasRenderingContext2D.prototype.fillText</t>
  </si>
  <si>
    <t>CanvasRenderingContext2D.prototype.getImageData</t>
  </si>
  <si>
    <t>CanvasRenderingContext2D.prototype.globalCompositeOperation</t>
  </si>
  <si>
    <t>CanvasRenderingContext2D.prototype.isPointInPath</t>
  </si>
  <si>
    <t>CanvasRenderingContext2D.prototype.strokeStyle</t>
  </si>
  <si>
    <t>CanvasRenderingContext2D.prototype.textBaseline</t>
  </si>
  <si>
    <t>HTMLCanvasElement.prototype.toDataURL</t>
  </si>
  <si>
    <t>CanvasRenderingContext2D.prototype.font</t>
  </si>
  <si>
    <t>CanvasRenderingContext2D.prototype.measureText</t>
  </si>
  <si>
    <t>CSSStyleDeclaration.prototype.fontFamily</t>
  </si>
  <si>
    <t>HTMLElement.prototype.offsetHeight</t>
  </si>
  <si>
    <t>HTMLElement.prototype.offsetWidth</t>
  </si>
  <si>
    <t>WebGL2RenderingContext.prototype.bindBuffer</t>
  </si>
  <si>
    <t>WebGL2RenderingContext.prototype.createBuffer</t>
  </si>
  <si>
    <t>WebGL2RenderingContext.prototype.enableVertexAttribArray</t>
  </si>
  <si>
    <t>WebGL2RenderingContext.prototype.getExtension</t>
  </si>
  <si>
    <t>WebGL2RenderingContext.prototype.getParameter</t>
  </si>
  <si>
    <t>WebGL2RenderingContext.prototype.vertexAttribPointer</t>
  </si>
  <si>
    <t>WebGLRenderingContext.prototype.bindBuffer</t>
  </si>
  <si>
    <t>WebGLRenderingContext.prototype.clearColor</t>
  </si>
  <si>
    <t>WebGLRenderingContext.prototype.createBuffer</t>
  </si>
  <si>
    <t>WebGLRenderingContext.prototype.createShader</t>
  </si>
  <si>
    <t>WebGLRenderingContext.prototype.depthFunc</t>
  </si>
  <si>
    <t>WebGLRenderingContext.prototype.drawArrays</t>
  </si>
  <si>
    <t>WebGLRenderingContext.prototype.enableVertexAttribArray</t>
  </si>
  <si>
    <t>WebGLRenderingContext.prototype.getAttribLocation</t>
  </si>
  <si>
    <t>WebGLRenderingContext.prototype.getContextAttributes</t>
  </si>
  <si>
    <t>WebGLRenderingContext.prototype.getExtension</t>
  </si>
  <si>
    <t>WebGLRenderingContext.prototype.getParameter</t>
  </si>
  <si>
    <t>WebGLRenderingContext.prototype.getShaderPrecisionFormat</t>
  </si>
  <si>
    <t>WebGLRenderingContext.prototype.getSupportedExtensions</t>
  </si>
  <si>
    <t>WebGLRenderingContext.prototype.getUniformLocation</t>
  </si>
  <si>
    <t>WebGLRenderingContext.prototype.useProgram</t>
  </si>
  <si>
    <t>WebGLRenderingContext.prototype.vertexAttribPointer</t>
  </si>
  <si>
    <t>WebGLShaderPrecisionFormat.prototype.rangeMax</t>
  </si>
  <si>
    <t>AnalyserNode.prototype.fftSize</t>
  </si>
  <si>
    <t>AnalyserNode.prototype.frequencyBinCount</t>
  </si>
  <si>
    <t>AnalyserNode.prototype.maxDecibels</t>
  </si>
  <si>
    <t>AnalyserNode.prototype.minDecibels</t>
  </si>
  <si>
    <t>AnalyserNode.prototype.smoothingTimeConstant</t>
  </si>
  <si>
    <t>AudioBuffer.prototype.getChannelData</t>
  </si>
  <si>
    <t>AudioDestinationNode.prototype.maxChannelCount</t>
  </si>
  <si>
    <t>AudioNode.prototype.channelCount</t>
  </si>
  <si>
    <t>AudioNode.prototype.channelCountMode</t>
  </si>
  <si>
    <t>AudioNode.prototype.channelInterpretation</t>
  </si>
  <si>
    <t>AudioNode.prototype.numberOfInputs</t>
  </si>
  <si>
    <t>AudioNode.prototype.numberOfOutputs</t>
  </si>
  <si>
    <t>BaseAudioContext.prototype.createAnalyser</t>
  </si>
  <si>
    <t>BaseAudioContext.prototype.createDynamicsCompressor</t>
  </si>
  <si>
    <t>BaseAudioContext.prototype.createOscillator</t>
  </si>
  <si>
    <t>BaseAudioContext.prototype.destination</t>
  </si>
  <si>
    <t>OfflineAudioCompletionEvent.prototype.renderedBuffer</t>
  </si>
  <si>
    <t>OfflineAudioContext.prototype.startRendering</t>
  </si>
  <si>
    <t>RTCPeerConnection.prototype.createDataChannel</t>
  </si>
  <si>
    <t>RTCPeerConnection.prototype.createOffer</t>
  </si>
  <si>
    <t>High</t>
  </si>
  <si>
    <t>Negligible</t>
  </si>
  <si>
    <t>Low</t>
  </si>
  <si>
    <t>Moderate</t>
  </si>
  <si>
    <t>Very High</t>
  </si>
  <si>
    <t>FP (GPT)</t>
  </si>
  <si>
    <t>XX (GPT)</t>
  </si>
  <si>
    <t>Cat Total (GPT)</t>
  </si>
  <si>
    <t>Cat Total (Claude)</t>
  </si>
  <si>
    <t>Media Devices / Camera / Microphone</t>
  </si>
  <si>
    <t>Sensors / Battery / Platform Extras</t>
  </si>
  <si>
    <t>Other High-Entropy Identifiers</t>
  </si>
  <si>
    <t>FP (Claude)</t>
  </si>
  <si>
    <t>XX (Calude)</t>
  </si>
  <si>
    <t>Average</t>
  </si>
  <si>
    <t>XX (Claude)</t>
  </si>
  <si>
    <t>BrowserPrope rties</t>
  </si>
  <si>
    <t>API (GPT)</t>
  </si>
  <si>
    <t>Risk</t>
  </si>
  <si>
    <t>API (GPT/Claude)</t>
  </si>
  <si>
    <t>Sites</t>
  </si>
  <si>
    <t>Claude</t>
  </si>
  <si>
    <t>GPT</t>
  </si>
  <si>
    <t>Average/API</t>
  </si>
  <si>
    <t>Average/Site</t>
  </si>
  <si>
    <t>Averrage/Sites</t>
  </si>
  <si>
    <t>Policy Category</t>
  </si>
  <si>
    <t>FP Tracer</t>
  </si>
  <si>
    <t>Total API</t>
  </si>
  <si>
    <t>Total Categories</t>
  </si>
  <si>
    <t>Average Uses</t>
  </si>
  <si>
    <t>JShelter</t>
  </si>
  <si>
    <t>API Per Site (GPT)</t>
  </si>
  <si>
    <t>API Per Site (Claude)</t>
  </si>
  <si>
    <t>Categories Per Site (GPT)</t>
  </si>
  <si>
    <t xml:space="preserve">CategoriesPer Site (Claude) </t>
  </si>
  <si>
    <t xml:space="preserve">Uses Per API (GPT) </t>
  </si>
  <si>
    <t xml:space="preserve">Uses Per API (Claude) </t>
  </si>
  <si>
    <t>Uses Per Category (GPT)</t>
  </si>
  <si>
    <t>Uses Per Category (Claude)</t>
  </si>
  <si>
    <t>Site #</t>
  </si>
  <si>
    <t>Website</t>
  </si>
  <si>
    <t>Fingerprinting</t>
  </si>
  <si>
    <t>001</t>
  </si>
  <si>
    <t>policies.google.com</t>
  </si>
  <si>
    <t>FP</t>
  </si>
  <si>
    <t>002</t>
  </si>
  <si>
    <t>help.mail.ru</t>
  </si>
  <si>
    <t>003</t>
  </si>
  <si>
    <t>microsoft.com</t>
  </si>
  <si>
    <t>004</t>
  </si>
  <si>
    <t>icann.org</t>
  </si>
  <si>
    <t>005</t>
  </si>
  <si>
    <t>facebook.com</t>
  </si>
  <si>
    <t>006</t>
  </si>
  <si>
    <t>cloudflare.com</t>
  </si>
  <si>
    <t>007</t>
  </si>
  <si>
    <t>apple.com</t>
  </si>
  <si>
    <t>008</t>
  </si>
  <si>
    <t>aws.amazon.com</t>
  </si>
  <si>
    <t>009</t>
  </si>
  <si>
    <t>yandex.com</t>
  </si>
  <si>
    <t>010</t>
  </si>
  <si>
    <t>privacycenter.instagram.com</t>
  </si>
  <si>
    <t>011</t>
  </si>
  <si>
    <t>akamai.com</t>
  </si>
  <si>
    <t>012</t>
  </si>
  <si>
    <t>x.com</t>
  </si>
  <si>
    <t>013</t>
  </si>
  <si>
    <t>linkedin.com</t>
  </si>
  <si>
    <t>014</t>
  </si>
  <si>
    <t>amazon.com</t>
  </si>
  <si>
    <t>015</t>
  </si>
  <si>
    <t>azure.microsoft.com</t>
  </si>
  <si>
    <t>016</t>
  </si>
  <si>
    <t>foundation.wikimedia.org</t>
  </si>
  <si>
    <t>017</t>
  </si>
  <si>
    <t>docs.github.com</t>
  </si>
  <si>
    <t>018</t>
  </si>
  <si>
    <t>privacy.digicert.com</t>
  </si>
  <si>
    <t>019</t>
  </si>
  <si>
    <t>help.netflix.com</t>
  </si>
  <si>
    <t>020</t>
  </si>
  <si>
    <t>whatsapp.com</t>
  </si>
  <si>
    <t>021</t>
  </si>
  <si>
    <t>fastly.com</t>
  </si>
  <si>
    <t>022</t>
  </si>
  <si>
    <t>godaddy.com</t>
  </si>
  <si>
    <t>023</t>
  </si>
  <si>
    <t>wordpress.org</t>
  </si>
  <si>
    <t>024</t>
  </si>
  <si>
    <t>eero.com</t>
  </si>
  <si>
    <t>025</t>
  </si>
  <si>
    <t>appsflyer.com</t>
  </si>
  <si>
    <t>026</t>
  </si>
  <si>
    <t>policy.pinterest.com</t>
  </si>
  <si>
    <t>027</t>
  </si>
  <si>
    <t>legal.yahoo.com</t>
  </si>
  <si>
    <t>029</t>
  </si>
  <si>
    <t>gandi.net</t>
  </si>
  <si>
    <t>030</t>
  </si>
  <si>
    <t>spotify.com</t>
  </si>
  <si>
    <t>031</t>
  </si>
  <si>
    <t>tiktok.com</t>
  </si>
  <si>
    <t>032</t>
  </si>
  <si>
    <t>nwtime.org</t>
  </si>
  <si>
    <t>033</t>
  </si>
  <si>
    <t>vimeo.com</t>
  </si>
  <si>
    <t>034</t>
  </si>
  <si>
    <t>adobe.com</t>
  </si>
  <si>
    <t>035</t>
  </si>
  <si>
    <t>venmo.com</t>
  </si>
  <si>
    <t>036</t>
  </si>
  <si>
    <t>en.help.roblox.com</t>
  </si>
  <si>
    <t>037</t>
  </si>
  <si>
    <t>openai.com</t>
  </si>
  <si>
    <t>038</t>
  </si>
  <si>
    <t>zoom.com</t>
  </si>
  <si>
    <t>039</t>
  </si>
  <si>
    <t>040</t>
  </si>
  <si>
    <t>privacy.qq.com</t>
  </si>
  <si>
    <t>041</t>
  </si>
  <si>
    <t>f5.com</t>
  </si>
  <si>
    <t>042</t>
  </si>
  <si>
    <t>opera.com</t>
  </si>
  <si>
    <t>043</t>
  </si>
  <si>
    <t>privacy.baidu.com</t>
  </si>
  <si>
    <t>044</t>
  </si>
  <si>
    <t>samsung.com</t>
  </si>
  <si>
    <t>045</t>
  </si>
  <si>
    <t>bitly.com</t>
  </si>
  <si>
    <t>046</t>
  </si>
  <si>
    <t>automattic.com</t>
  </si>
  <si>
    <t>047</t>
  </si>
  <si>
    <t>intuit.com</t>
  </si>
  <si>
    <t>048</t>
  </si>
  <si>
    <t>ok.ru</t>
  </si>
  <si>
    <t>049</t>
  </si>
  <si>
    <t>ui.com</t>
  </si>
  <si>
    <t>050</t>
  </si>
  <si>
    <t>sentry.io</t>
  </si>
  <si>
    <t>051</t>
  </si>
  <si>
    <t>052</t>
  </si>
  <si>
    <t>mozilla.org</t>
  </si>
  <si>
    <t>053</t>
  </si>
  <si>
    <t>redditinc.com</t>
  </si>
  <si>
    <t>055</t>
  </si>
  <si>
    <t>unity.com</t>
  </si>
  <si>
    <t>056</t>
  </si>
  <si>
    <t>paypal.com</t>
  </si>
  <si>
    <t>060</t>
  </si>
  <si>
    <t>vk.com</t>
  </si>
  <si>
    <t>061</t>
  </si>
  <si>
    <t>062</t>
  </si>
  <si>
    <t>telegram.org</t>
  </si>
  <si>
    <t>063</t>
  </si>
  <si>
    <t>commission.europa.eu</t>
  </si>
  <si>
    <t>064</t>
  </si>
  <si>
    <t>values.snap.com</t>
  </si>
  <si>
    <t>065</t>
  </si>
  <si>
    <t>discord.com</t>
  </si>
  <si>
    <t>066</t>
  </si>
  <si>
    <t>071</t>
  </si>
  <si>
    <t>netify.ai</t>
  </si>
  <si>
    <t>072</t>
  </si>
  <si>
    <t>privacy.apache.org</t>
  </si>
  <si>
    <t>074</t>
  </si>
  <si>
    <t>legal.epicgames.com</t>
  </si>
  <si>
    <t>075</t>
  </si>
  <si>
    <t>trbcdn.com</t>
  </si>
  <si>
    <t>077</t>
  </si>
  <si>
    <t>primevideo.com</t>
  </si>
  <si>
    <t>078</t>
  </si>
  <si>
    <t>079</t>
  </si>
  <si>
    <t>dropbox.com</t>
  </si>
  <si>
    <t>080</t>
  </si>
  <si>
    <t>0xrpc.github.io</t>
  </si>
  <si>
    <t>084</t>
  </si>
  <si>
    <t>criteo.com</t>
  </si>
  <si>
    <t>085</t>
  </si>
  <si>
    <t>mi.com</t>
  </si>
  <si>
    <t>089</t>
  </si>
  <si>
    <t>archive.org</t>
  </si>
  <si>
    <t>093</t>
  </si>
  <si>
    <t>applovin.com</t>
  </si>
  <si>
    <t>097</t>
  </si>
  <si>
    <t>tumblr.com</t>
  </si>
  <si>
    <t>098</t>
  </si>
  <si>
    <t>101</t>
  </si>
  <si>
    <t>privacy.mi.com</t>
  </si>
  <si>
    <t>102</t>
  </si>
  <si>
    <t>cpanel.net</t>
  </si>
  <si>
    <t>103</t>
  </si>
  <si>
    <t>demdex.net</t>
  </si>
  <si>
    <t>104</t>
  </si>
  <si>
    <t>doi.org</t>
  </si>
  <si>
    <t>105</t>
  </si>
  <si>
    <t>merkle.io</t>
  </si>
  <si>
    <t>106</t>
  </si>
  <si>
    <t>docs.roku.com</t>
  </si>
  <si>
    <t>107</t>
  </si>
  <si>
    <t>doubleverify.com</t>
  </si>
  <si>
    <t>108</t>
  </si>
  <si>
    <t>scorecardresearch.com</t>
  </si>
  <si>
    <t>109</t>
  </si>
  <si>
    <t>imdb.com</t>
  </si>
  <si>
    <t>110</t>
  </si>
  <si>
    <t>indexexchange.com</t>
  </si>
  <si>
    <t>111</t>
  </si>
  <si>
    <t>linktr.ee</t>
  </si>
  <si>
    <t>112</t>
  </si>
  <si>
    <t>wix.com</t>
  </si>
  <si>
    <t>113</t>
  </si>
  <si>
    <t>legal.hubspot.com</t>
  </si>
  <si>
    <t>114</t>
  </si>
  <si>
    <t>115</t>
  </si>
  <si>
    <t>salesforce.com</t>
  </si>
  <si>
    <t>116</t>
  </si>
  <si>
    <t>hp.com</t>
  </si>
  <si>
    <t>117</t>
  </si>
  <si>
    <t>stripe.com</t>
  </si>
  <si>
    <t>118</t>
  </si>
  <si>
    <t>advertising.inmobi.com</t>
  </si>
  <si>
    <t>119</t>
  </si>
  <si>
    <t>mikrotik.com</t>
  </si>
  <si>
    <t>122</t>
  </si>
  <si>
    <t>firebasestorage.googleapis.com</t>
  </si>
  <si>
    <t>123</t>
  </si>
  <si>
    <t>v3.account.samsung.com</t>
  </si>
  <si>
    <t>124</t>
  </si>
  <si>
    <t>grammarly.com</t>
  </si>
  <si>
    <t>126</t>
  </si>
  <si>
    <t>153</t>
  </si>
  <si>
    <t>kaspersky.com</t>
  </si>
  <si>
    <t>313</t>
  </si>
  <si>
    <t>slack.com</t>
  </si>
  <si>
    <t>Site ID</t>
  </si>
  <si>
    <t>Domain</t>
  </si>
  <si>
    <t>Browser / OS Identity</t>
  </si>
  <si>
    <t>Language / Locale / Timezone</t>
  </si>
  <si>
    <t>Screen / Display</t>
  </si>
  <si>
    <t>Hardware / Device Capability</t>
  </si>
  <si>
    <t>Canvas Fingerprinting</t>
  </si>
  <si>
    <t>WebGL / GPU</t>
  </si>
  <si>
    <t>Audio Fingerprinting</t>
  </si>
  <si>
    <t>Fonts / Text Rendering</t>
  </si>
  <si>
    <t>Storage / Cookies / Persistence</t>
  </si>
  <si>
    <t>google.com</t>
  </si>
  <si>
    <t>instagram.com</t>
  </si>
  <si>
    <t>wikimedia.org</t>
  </si>
  <si>
    <t>github.com</t>
  </si>
  <si>
    <t>digicert.com</t>
  </si>
  <si>
    <t>netflix.com</t>
  </si>
  <si>
    <t>pinterest.com</t>
  </si>
  <si>
    <t>yahoo.com</t>
  </si>
  <si>
    <t>roblox.com</t>
  </si>
  <si>
    <t>qq.com</t>
  </si>
  <si>
    <t>baidu.com</t>
  </si>
  <si>
    <t>europa.eu</t>
  </si>
  <si>
    <t>snap.com</t>
  </si>
  <si>
    <t>cloud.microsoft</t>
  </si>
  <si>
    <t>apache.org</t>
  </si>
  <si>
    <t>epicgames.com</t>
  </si>
  <si>
    <t>github.io</t>
  </si>
  <si>
    <t>roku.com</t>
  </si>
  <si>
    <t>hubspot.com</t>
  </si>
  <si>
    <t>inmobi.com</t>
  </si>
  <si>
    <t>googleapis.com</t>
  </si>
  <si>
    <t>Plugins / MIME / Browser Features</t>
  </si>
  <si>
    <t>Total</t>
  </si>
  <si>
    <t>akamai.net</t>
  </si>
  <si>
    <t>twitter.com</t>
  </si>
  <si>
    <t>azure.com</t>
  </si>
  <si>
    <t>wikipedia.org</t>
  </si>
  <si>
    <t>whatsapp.net</t>
  </si>
  <si>
    <t>fastly.net</t>
  </si>
  <si>
    <t>ntp.org</t>
  </si>
  <si>
    <t>chatgpt.com</t>
  </si>
  <si>
    <t>zoom.us</t>
  </si>
  <si>
    <t>nginx.org</t>
  </si>
  <si>
    <t>wordpress.com</t>
  </si>
  <si>
    <t>windows.com</t>
  </si>
  <si>
    <t>reddit.com</t>
  </si>
  <si>
    <t>unity3d.com</t>
  </si>
  <si>
    <t>t.me</t>
  </si>
  <si>
    <t>snapchat.com</t>
  </si>
  <si>
    <t>discord.gg</t>
  </si>
  <si>
    <t>amazonvideo.com</t>
  </si>
  <si>
    <t>outlook.com</t>
  </si>
  <si>
    <t>0xrpc.io</t>
  </si>
  <si>
    <t>xiaomi.com</t>
  </si>
  <si>
    <t>samsungcloud.com</t>
  </si>
  <si>
    <t>313_slack.com_trust_privacy_privacy-policy.html</t>
  </si>
  <si>
    <t>Policy file prefix was 149, mapped to site 153 by domain (kaspersky.com).</t>
  </si>
  <si>
    <t>149_kaspersky.com_web-privacy-policy.html</t>
  </si>
  <si>
    <t>126_moe.video_privacy-policy.html</t>
  </si>
  <si>
    <t>124_grammarly_privacy_policy.html</t>
  </si>
  <si>
    <t>123_v3.account.samsung.com.html</t>
  </si>
  <si>
    <t>122_firebasestorage.googleapis.com.html</t>
  </si>
  <si>
    <t>Policy file prefix was 118, mapped to site 119 by domain (mikrotik.com).</t>
  </si>
  <si>
    <t>118_mikrotik.com.html</t>
  </si>
  <si>
    <t>118_advertising.inmobi.com.html</t>
  </si>
  <si>
    <t>117_stripe.com.html</t>
  </si>
  <si>
    <t>116_hp.com.html</t>
  </si>
  <si>
    <t>115_salesforce.com.html</t>
  </si>
  <si>
    <t>114_yandex.com.html</t>
  </si>
  <si>
    <t>113_legal.hubspot.com.html</t>
  </si>
  <si>
    <t>112_wix.com.html</t>
  </si>
  <si>
    <t>111_linktr.ee.html</t>
  </si>
  <si>
    <t>110_indexexchange.com.html</t>
  </si>
  <si>
    <t>109_imdb.com.html</t>
  </si>
  <si>
    <t>108_scorecardresearch.com.html</t>
  </si>
  <si>
    <t>107_doubleverify.com.html</t>
  </si>
  <si>
    <t>106_roku.com.html</t>
  </si>
  <si>
    <t>105_merkle.io_privacy.html</t>
  </si>
  <si>
    <t>104_doi.org.html</t>
  </si>
  <si>
    <t>103_demdex.net.json</t>
  </si>
  <si>
    <t>102_cpanel.net.html</t>
  </si>
  <si>
    <t>101_privacy.mi.com.html</t>
  </si>
  <si>
    <t>098_f5.com_company_policies_privacy-notice.html</t>
  </si>
  <si>
    <t>097_tumblr.com.html</t>
  </si>
  <si>
    <t>093_applovin.com.html</t>
  </si>
  <si>
    <t>089_archive.org_about_terms.html</t>
  </si>
  <si>
    <t>085_mi.com.html</t>
  </si>
  <si>
    <t>084_Criteo.html</t>
  </si>
  <si>
    <t>080_0xrpc.github.io.html</t>
  </si>
  <si>
    <t>079_dropbox.com.html</t>
  </si>
  <si>
    <t>078_microsoft.com.html</t>
  </si>
  <si>
    <t>077_primevideo.com.html</t>
  </si>
  <si>
    <t>075_trbcdn.com.pdf</t>
  </si>
  <si>
    <t>074_legal.epicgames.com.html</t>
  </si>
  <si>
    <t>072_privacy.apache.org.html</t>
  </si>
  <si>
    <t>071_netify.ai.html</t>
  </si>
  <si>
    <t>066_m365.cloud.microsoft.html</t>
  </si>
  <si>
    <t>065_discord.com.html</t>
  </si>
  <si>
    <t>064_values.snap.com.html</t>
  </si>
  <si>
    <t>063_commission.europa.eu.html</t>
  </si>
  <si>
    <t>062_t.me.html</t>
  </si>
  <si>
    <t>061_google.com.html</t>
  </si>
  <si>
    <t>060_vk.com.html</t>
  </si>
  <si>
    <t>056_paypal.com.html</t>
  </si>
  <si>
    <t>055_unity.com.html</t>
  </si>
  <si>
    <t>053_redditinc.com.html</t>
  </si>
  <si>
    <t>052_mozilla.org.html</t>
  </si>
  <si>
    <t>051_microsoft.com.html</t>
  </si>
  <si>
    <t>050_sentry.io.html</t>
  </si>
  <si>
    <t>049_ui.com.html</t>
  </si>
  <si>
    <t>048_ok.ru.html</t>
  </si>
  <si>
    <t>047_intuit.com.html</t>
  </si>
  <si>
    <t>046_automattic.com.html</t>
  </si>
  <si>
    <t>045_bitly.com.html</t>
  </si>
  <si>
    <t>044_samsung.com.html</t>
  </si>
  <si>
    <t>043_baidu.com.html</t>
  </si>
  <si>
    <t>042_opera.com.html</t>
  </si>
  <si>
    <t>041_f5.com.html</t>
  </si>
  <si>
    <t>040_privacy.qq.com.html</t>
  </si>
  <si>
    <t>039_nic.ru.pdf</t>
  </si>
  <si>
    <t>038_zoom.com.html</t>
  </si>
  <si>
    <t>037_chatgpt_openai_privacy_policy.html</t>
  </si>
  <si>
    <t>036_fpd_report_roblox_privacy_and_cookie_policy.html</t>
  </si>
  <si>
    <t>035_venmo.com.html</t>
  </si>
  <si>
    <t>034_adobe.com.html</t>
  </si>
  <si>
    <t>033_vimeo.com.html</t>
  </si>
  <si>
    <t>032_nwtime.org.html</t>
  </si>
  <si>
    <t>031_tiktok.com.html</t>
  </si>
  <si>
    <t>030_spotify.com.html</t>
  </si>
  <si>
    <t>029_gandi.net.html</t>
  </si>
  <si>
    <t>027_legal.yahoo.com.html</t>
  </si>
  <si>
    <t>026_policy.pinterest.com.html</t>
  </si>
  <si>
    <t>025_appsflyer.com.html</t>
  </si>
  <si>
    <t>024_eero.com.html</t>
  </si>
  <si>
    <t>023_wordpress.org.html</t>
  </si>
  <si>
    <t>022_godaddy_privacy_policy.html</t>
  </si>
  <si>
    <t>021_fastly.com.html</t>
  </si>
  <si>
    <t>020_whatsapp_privacy_policy.html</t>
  </si>
  <si>
    <t>019_help.netflix.com.html</t>
  </si>
  <si>
    <t>018_privacy.digicert.com.html</t>
  </si>
  <si>
    <t>017_docs.github.com.html</t>
  </si>
  <si>
    <t>016_foundation.wikimedia.org.html</t>
  </si>
  <si>
    <t>015_azure.microsoft.com.html</t>
  </si>
  <si>
    <t>014_amazon.com.html</t>
  </si>
  <si>
    <t>013_linkedin.com.html</t>
  </si>
  <si>
    <t>012_x.com.html</t>
  </si>
  <si>
    <t>011_akamai.com.html</t>
  </si>
  <si>
    <t>010_privacycenter.instagram.com.html</t>
  </si>
  <si>
    <t>009_yandex.com.html</t>
  </si>
  <si>
    <t>008_aws.amazon.com.html</t>
  </si>
  <si>
    <t>007_apple.com.html</t>
  </si>
  <si>
    <t>006_cloudflare.com.html</t>
  </si>
  <si>
    <t>005_facebook_privacy_policy.html</t>
  </si>
  <si>
    <t>004_icann.org.html</t>
  </si>
  <si>
    <t>003_microsoft.com.html</t>
  </si>
  <si>
    <t>002_help.mail.ru.html</t>
  </si>
  <si>
    <t>001_policies.google.com.html</t>
  </si>
  <si>
    <t>TOTAL FP</t>
  </si>
  <si>
    <t>Declared</t>
  </si>
  <si>
    <t>Mapping Note</t>
  </si>
  <si>
    <t>Policy Source</t>
  </si>
  <si>
    <t>XX</t>
  </si>
  <si>
    <t>TOTAL FP+XX</t>
  </si>
  <si>
    <t>TOTAL XX</t>
  </si>
  <si>
    <t>Tool Observed</t>
  </si>
  <si>
    <t>blogspot.com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</si>
</sst>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Aptos Narrow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0000"/>
        <bgColor indexed="64"/>
      </patternFill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AA00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00B050"/>
        <bgColor indexed="64"/>
      </patternFill>
    </fill>
    <fill>
      <patternFill patternType="solid">
        <fgColor rgb="FFFF4444"/>
      </patternFill>
    </fill>
  </fills>
  <borders count="3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1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textRotation="90" wrapText="1"/>
    </xf>
    <xf numFmtId="0" fontId="7" fillId="0" borderId="0" xfId="0" applyFont="1"/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3" borderId="2" xfId="0" applyFont="1" applyFill="1" applyBorder="1" applyAlignment="1">
      <alignment horizontal="center" textRotation="90" wrapText="1"/>
    </xf>
    <xf numFmtId="0" fontId="0" fillId="4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10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1" fillId="0" borderId="0" xfId="2"/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textRotation="90" wrapText="1"/>
    </xf>
    <xf numFmtId="0" fontId="11" fillId="0" borderId="1" xfId="2" applyBorder="1" applyAlignment="1">
      <alignment horizontal="center" vertical="center"/>
    </xf>
    <xf numFmtId="0" fontId="11" fillId="0" borderId="1" xfId="2" applyBorder="1" applyAlignment="1">
      <alignment horizontal="left" vertical="center"/>
    </xf>
    <xf numFmtId="0" fontId="4" fillId="5" borderId="0" xfId="2" applyFont="1" applyFill="1" applyAlignment="1">
      <alignment horizontal="center" vertical="center" wrapText="1"/>
    </xf>
    <xf numFmtId="0" fontId="4" fillId="6" borderId="0" xfId="2" applyFont="1" applyFill="1" applyAlignment="1">
      <alignment horizontal="center" vertical="center" wrapText="1"/>
    </xf>
    <xf numFmtId="0" fontId="11" fillId="0" borderId="0" xfId="2"/>
    <xf numFmtId="0" fontId="4" fillId="5" borderId="0" xfId="2" applyFont="1" applyFill="1" applyAlignment="1">
      <alignment horizontal="center" vertical="center" wrapText="1"/>
    </xf>
    <xf numFmtId="0" fontId="11" fillId="0" borderId="0" xfId="2" applyAlignment="1">
      <alignment horizontal="left" vertical="center" wrapText="1"/>
    </xf>
    <xf numFmtId="0" fontId="6" fillId="7" borderId="0" xfId="2" applyFont="1" applyFill="1" applyAlignment="1">
      <alignment horizontal="center" vertical="center" wrapText="1"/>
    </xf>
    <xf numFmtId="0" fontId="4" fillId="6" borderId="0" xfId="2" applyFont="1" applyFill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0" fontId="7" fillId="0" borderId="0" xfId="2" applyFont="1"/>
    <xf numFmtId="0" fontId="11" fillId="0" borderId="0" xfId="2" applyAlignment="1">
      <alignment horizontal="left" vertical="center"/>
    </xf>
    <xf numFmtId="0" fontId="2" fillId="0" borderId="0" xfId="2" applyFont="1"/>
    <xf numFmtId="0" fontId="11" fillId="8" borderId="1" xfId="2" applyFill="1" applyBorder="1" applyAlignment="1">
      <alignment horizontal="center" vertical="center"/>
    </xf>
    <xf numFmtId="0" fontId="11" fillId="9" borderId="1" xfId="2" applyFill="1" applyBorder="1" applyAlignment="1">
      <alignment horizontal="center" vertical="center"/>
    </xf>
    <xf numFmtId="0" fontId="11" fillId="10" borderId="0" xfId="2" applyFill="1"/>
    <xf numFmtId="0" fontId="2" fillId="10" borderId="0" xfId="2" applyFont="1" applyFill="1"/>
    <xf numFmtId="0" fontId="11" fillId="10" borderId="1" xfId="2" applyFill="1" applyBorder="1" applyAlignment="1">
      <alignment horizontal="center" vertical="center"/>
    </xf>
    <xf numFmtId="0" fontId="11" fillId="10" borderId="1" xfId="2" applyFill="1" applyBorder="1" applyAlignment="1">
      <alignment horizontal="left" vertical="center"/>
    </xf>
    <xf numFmtId="0" fontId="12" fillId="0" borderId="0" xfId="2" applyFont="1"/>
    <xf numFmtId="0" fontId="6" fillId="11" borderId="0" xfId="2" applyFont="1" applyFill="1" applyAlignment="1">
      <alignment horizontal="center" vertical="center" wrapText="1"/>
    </xf>
    <xf numFmtId="0" fontId="13" fillId="0" borderId="0" xfId="2" applyFont="1"/>
  </cellXfs>
  <cellStyles count="3">
    <cellStyle name="Hyperlink" xfId="1" builtinId="8"/>
    <cellStyle name="Normal" xfId="0" builtinId="0"/>
    <cellStyle name="Normal 2" xfId="2" xr:uid="{411AF352-D7B3-B447-B3B9-A0C052C77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JShelter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Summary!$B$1:$K$1</c:f>
              <c:strCache>
                <c:ptCount val="10"/>
                <c:pt idx="0">
                  <c:v>API Per Site (GPT)</c:v>
                </c:pt>
                <c:pt idx="1">
                  <c:v>API Per Site (Claude)</c:v>
                </c:pt>
                <c:pt idx="2">
                  <c:v>Total API</c:v>
                </c:pt>
                <c:pt idx="3">
                  <c:v>Categories Per Site (GPT)</c:v>
                </c:pt>
                <c:pt idx="4">
                  <c:v>CategoriesPer Site (Claude) </c:v>
                </c:pt>
                <c:pt idx="5">
                  <c:v>Total Categories</c:v>
                </c:pt>
                <c:pt idx="6">
                  <c:v>Uses Per API (GPT) </c:v>
                </c:pt>
                <c:pt idx="7">
                  <c:v>Uses Per API (Claude) </c:v>
                </c:pt>
                <c:pt idx="8">
                  <c:v>Uses Per Category (GPT)</c:v>
                </c:pt>
                <c:pt idx="9">
                  <c:v>Uses Per Category (Claude)</c:v>
                </c:pt>
              </c:strCache>
            </c:strRef>
          </c:cat>
          <c:val>
            <c:numRef>
              <c:f>Summary!$B$2:$K$2</c:f>
              <c:numCache>
                <c:formatCode>General</c:formatCode>
                <c:ptCount val="10"/>
                <c:pt idx="0">
                  <c:v>22.94</c:v>
                </c:pt>
                <c:pt idx="1">
                  <c:v>22.94</c:v>
                </c:pt>
                <c:pt idx="2">
                  <c:v>99</c:v>
                </c:pt>
                <c:pt idx="3">
                  <c:v>8.06</c:v>
                </c:pt>
                <c:pt idx="4">
                  <c:v>6.11</c:v>
                </c:pt>
                <c:pt idx="5">
                  <c:v>15</c:v>
                </c:pt>
                <c:pt idx="6">
                  <c:v>23.17</c:v>
                </c:pt>
                <c:pt idx="7">
                  <c:v>23.17</c:v>
                </c:pt>
                <c:pt idx="8">
                  <c:v>53.73</c:v>
                </c:pt>
                <c:pt idx="9">
                  <c:v>50.92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9-0B4A-8EEF-91CDFF3CC669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FP Tracer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Summary!$B$1:$K$1</c:f>
              <c:strCache>
                <c:ptCount val="10"/>
                <c:pt idx="0">
                  <c:v>API Per Site (GPT)</c:v>
                </c:pt>
                <c:pt idx="1">
                  <c:v>API Per Site (Claude)</c:v>
                </c:pt>
                <c:pt idx="2">
                  <c:v>Total API</c:v>
                </c:pt>
                <c:pt idx="3">
                  <c:v>Categories Per Site (GPT)</c:v>
                </c:pt>
                <c:pt idx="4">
                  <c:v>CategoriesPer Site (Claude) </c:v>
                </c:pt>
                <c:pt idx="5">
                  <c:v>Total Categories</c:v>
                </c:pt>
                <c:pt idx="6">
                  <c:v>Uses Per API (GPT) </c:v>
                </c:pt>
                <c:pt idx="7">
                  <c:v>Uses Per API (Claude) </c:v>
                </c:pt>
                <c:pt idx="8">
                  <c:v>Uses Per Category (GPT)</c:v>
                </c:pt>
                <c:pt idx="9">
                  <c:v>Uses Per Category (Claude)</c:v>
                </c:pt>
              </c:strCache>
            </c:strRef>
          </c:cat>
          <c:val>
            <c:numRef>
              <c:f>Summary!$B$3:$K$3</c:f>
              <c:numCache>
                <c:formatCode>General</c:formatCode>
                <c:ptCount val="10"/>
                <c:pt idx="0">
                  <c:v>5.63</c:v>
                </c:pt>
                <c:pt idx="1">
                  <c:v>7.71</c:v>
                </c:pt>
                <c:pt idx="2">
                  <c:v>33</c:v>
                </c:pt>
                <c:pt idx="3">
                  <c:v>2.84</c:v>
                </c:pt>
                <c:pt idx="4">
                  <c:v>3.68</c:v>
                </c:pt>
                <c:pt idx="5">
                  <c:v>10</c:v>
                </c:pt>
                <c:pt idx="6">
                  <c:v>22.52</c:v>
                </c:pt>
                <c:pt idx="7">
                  <c:v>23.36</c:v>
                </c:pt>
                <c:pt idx="8">
                  <c:v>28.4</c:v>
                </c:pt>
                <c:pt idx="9">
                  <c:v>36.799999999999997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9-0B4A-8EEF-91CDFF3CC669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Policy Category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Summary!$B$1:$K$1</c:f>
              <c:strCache>
                <c:ptCount val="10"/>
                <c:pt idx="0">
                  <c:v>API Per Site (GPT)</c:v>
                </c:pt>
                <c:pt idx="1">
                  <c:v>API Per Site (Claude)</c:v>
                </c:pt>
                <c:pt idx="2">
                  <c:v>Total API</c:v>
                </c:pt>
                <c:pt idx="3">
                  <c:v>Categories Per Site (GPT)</c:v>
                </c:pt>
                <c:pt idx="4">
                  <c:v>CategoriesPer Site (Claude) </c:v>
                </c:pt>
                <c:pt idx="5">
                  <c:v>Total Categories</c:v>
                </c:pt>
                <c:pt idx="6">
                  <c:v>Uses Per API (GPT) </c:v>
                </c:pt>
                <c:pt idx="7">
                  <c:v>Uses Per API (Claude) </c:v>
                </c:pt>
                <c:pt idx="8">
                  <c:v>Uses Per Category (GPT)</c:v>
                </c:pt>
                <c:pt idx="9">
                  <c:v>Uses Per Category (Claude)</c:v>
                </c:pt>
              </c:strCache>
            </c:strRef>
          </c:cat>
          <c:val>
            <c:numRef>
              <c:f>Summary!$B$4:$K$4</c:f>
              <c:numCache>
                <c:formatCode>General</c:formatCode>
                <c:ptCount val="10"/>
                <c:pt idx="3">
                  <c:v>3.42</c:v>
                </c:pt>
                <c:pt idx="4">
                  <c:v>4.0199999999999996</c:v>
                </c:pt>
                <c:pt idx="5">
                  <c:v>15</c:v>
                </c:pt>
                <c:pt idx="8">
                  <c:v>22.8</c:v>
                </c:pt>
                <c:pt idx="9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9-0B4A-8EEF-91CDFF3CC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669938367"/>
        <c:axId val="669932095"/>
      </c:barChart>
      <c:catAx>
        <c:axId val="66993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9932095"/>
        <c:crosses val="autoZero"/>
        <c:auto val="1"/>
        <c:lblAlgn val="ctr"/>
        <c:lblOffset val="100"/>
        <c:noMultiLvlLbl val="0"/>
      </c:catAx>
      <c:valAx>
        <c:axId val="669932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993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'FP Tracer Sites'!$B$1</c:f>
              <c:strCache>
                <c:ptCount val="1"/>
                <c:pt idx="0">
                  <c:v>API (GPT)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'FP Tracer Sites'!$A$2:$A$102</c:f>
              <c:strCache>
                <c:ptCount val="101"/>
                <c:pt idx="0">
                  <c:v>instagram</c:v>
                </c:pt>
                <c:pt idx="1">
                  <c:v>doi</c:v>
                </c:pt>
                <c:pt idx="2">
                  <c:v>mikrotik</c:v>
                </c:pt>
                <c:pt idx="3">
                  <c:v>netify</c:v>
                </c:pt>
                <c:pt idx="4">
                  <c:v>akamai</c:v>
                </c:pt>
                <c:pt idx="5">
                  <c:v>godaddy</c:v>
                </c:pt>
                <c:pt idx="6">
                  <c:v>t</c:v>
                </c:pt>
                <c:pt idx="7">
                  <c:v>amazon</c:v>
                </c:pt>
                <c:pt idx="8">
                  <c:v>wikipedia</c:v>
                </c:pt>
                <c:pt idx="9">
                  <c:v>spotify</c:v>
                </c:pt>
                <c:pt idx="10">
                  <c:v>merkle</c:v>
                </c:pt>
                <c:pt idx="11">
                  <c:v>whatsapp</c:v>
                </c:pt>
                <c:pt idx="12">
                  <c:v>0xrpc</c:v>
                </c:pt>
                <c:pt idx="13">
                  <c:v>facebook</c:v>
                </c:pt>
                <c:pt idx="14">
                  <c:v>chatgpt</c:v>
                </c:pt>
                <c:pt idx="15">
                  <c:v>netflix</c:v>
                </c:pt>
                <c:pt idx="16">
                  <c:v>gandi</c:v>
                </c:pt>
                <c:pt idx="17">
                  <c:v>apache</c:v>
                </c:pt>
                <c:pt idx="18">
                  <c:v>reddit</c:v>
                </c:pt>
                <c:pt idx="19">
                  <c:v>snapchat</c:v>
                </c:pt>
                <c:pt idx="20">
                  <c:v>archive</c:v>
                </c:pt>
                <c:pt idx="21">
                  <c:v>imdb</c:v>
                </c:pt>
                <c:pt idx="22">
                  <c:v>epicgames</c:v>
                </c:pt>
                <c:pt idx="23">
                  <c:v>wordpress</c:v>
                </c:pt>
                <c:pt idx="24">
                  <c:v>pinterest</c:v>
                </c:pt>
                <c:pt idx="25">
                  <c:v>venmo</c:v>
                </c:pt>
                <c:pt idx="26">
                  <c:v>twitter</c:v>
                </c:pt>
                <c:pt idx="27">
                  <c:v>nic.ru</c:v>
                </c:pt>
                <c:pt idx="28">
                  <c:v>blogspot</c:v>
                </c:pt>
                <c:pt idx="29">
                  <c:v>cpanel</c:v>
                </c:pt>
                <c:pt idx="30">
                  <c:v>hubspot</c:v>
                </c:pt>
                <c:pt idx="31">
                  <c:v>mozilla</c:v>
                </c:pt>
                <c:pt idx="32">
                  <c:v>europa</c:v>
                </c:pt>
                <c:pt idx="33">
                  <c:v>miui</c:v>
                </c:pt>
                <c:pt idx="34">
                  <c:v>google</c:v>
                </c:pt>
                <c:pt idx="35">
                  <c:v>samsungcloud</c:v>
                </c:pt>
                <c:pt idx="36">
                  <c:v>doubleverify</c:v>
                </c:pt>
                <c:pt idx="37">
                  <c:v>sentry</c:v>
                </c:pt>
                <c:pt idx="38">
                  <c:v>baidu</c:v>
                </c:pt>
                <c:pt idx="39">
                  <c:v>paypal</c:v>
                </c:pt>
                <c:pt idx="40">
                  <c:v>m365.cloud.microsoft</c:v>
                </c:pt>
                <c:pt idx="41">
                  <c:v>gtld-servers</c:v>
                </c:pt>
                <c:pt idx="42">
                  <c:v>tumblr</c:v>
                </c:pt>
                <c:pt idx="43">
                  <c:v>inmobi</c:v>
                </c:pt>
                <c:pt idx="44">
                  <c:v>scorecardresearch</c:v>
                </c:pt>
                <c:pt idx="45">
                  <c:v>appsflyersdk</c:v>
                </c:pt>
                <c:pt idx="46">
                  <c:v>roku</c:v>
                </c:pt>
                <c:pt idx="47">
                  <c:v>opera</c:v>
                </c:pt>
                <c:pt idx="48">
                  <c:v>ui</c:v>
                </c:pt>
                <c:pt idx="49">
                  <c:v>unity3d</c:v>
                </c:pt>
                <c:pt idx="50">
                  <c:v>applovin</c:v>
                </c:pt>
                <c:pt idx="51">
                  <c:v>discord</c:v>
                </c:pt>
                <c:pt idx="52">
                  <c:v>wordpress</c:v>
                </c:pt>
                <c:pt idx="53">
                  <c:v>grammarly</c:v>
                </c:pt>
                <c:pt idx="54">
                  <c:v>nginx</c:v>
                </c:pt>
                <c:pt idx="55">
                  <c:v>ntp</c:v>
                </c:pt>
                <c:pt idx="56">
                  <c:v>apple</c:v>
                </c:pt>
                <c:pt idx="57">
                  <c:v>bit.ly</c:v>
                </c:pt>
                <c:pt idx="58">
                  <c:v>mail.ru</c:v>
                </c:pt>
                <c:pt idx="59">
                  <c:v>intuit</c:v>
                </c:pt>
                <c:pt idx="60">
                  <c:v>okcdn.ru</c:v>
                </c:pt>
                <c:pt idx="61">
                  <c:v>moe.video</c:v>
                </c:pt>
                <c:pt idx="62">
                  <c:v>indexexchange</c:v>
                </c:pt>
                <c:pt idx="63">
                  <c:v>vimeo</c:v>
                </c:pt>
                <c:pt idx="64">
                  <c:v>f5</c:v>
                </c:pt>
                <c:pt idx="65">
                  <c:v>demdex</c:v>
                </c:pt>
                <c:pt idx="66">
                  <c:v>azure</c:v>
                </c:pt>
                <c:pt idx="67">
                  <c:v>dzen.ru</c:v>
                </c:pt>
                <c:pt idx="68">
                  <c:v>slack</c:v>
                </c:pt>
                <c:pt idx="69">
                  <c:v>fastly</c:v>
                </c:pt>
                <c:pt idx="70">
                  <c:v>xiaomi</c:v>
                </c:pt>
                <c:pt idx="71">
                  <c:v>googleapis</c:v>
                </c:pt>
                <c:pt idx="72">
                  <c:v>microsoft</c:v>
                </c:pt>
                <c:pt idx="73">
                  <c:v>e2ro</c:v>
                </c:pt>
                <c:pt idx="74">
                  <c:v>tiktok</c:v>
                </c:pt>
                <c:pt idx="75">
                  <c:v>trbcdn</c:v>
                </c:pt>
                <c:pt idx="76">
                  <c:v>amazonaws</c:v>
                </c:pt>
                <c:pt idx="77">
                  <c:v>kaspersky</c:v>
                </c:pt>
                <c:pt idx="78">
                  <c:v>amazonvideo</c:v>
                </c:pt>
                <c:pt idx="79">
                  <c:v>yandex</c:v>
                </c:pt>
                <c:pt idx="80">
                  <c:v>github</c:v>
                </c:pt>
                <c:pt idx="81">
                  <c:v>dropbox</c:v>
                </c:pt>
                <c:pt idx="82">
                  <c:v>roblox</c:v>
                </c:pt>
                <c:pt idx="83">
                  <c:v>yahoo</c:v>
                </c:pt>
                <c:pt idx="84">
                  <c:v>zoom</c:v>
                </c:pt>
                <c:pt idx="85">
                  <c:v>samsung</c:v>
                </c:pt>
                <c:pt idx="86">
                  <c:v>cloudflare</c:v>
                </c:pt>
                <c:pt idx="87">
                  <c:v>stripe</c:v>
                </c:pt>
                <c:pt idx="88">
                  <c:v>criteo</c:v>
                </c:pt>
                <c:pt idx="89">
                  <c:v>linktr</c:v>
                </c:pt>
                <c:pt idx="90">
                  <c:v>outlook</c:v>
                </c:pt>
                <c:pt idx="91">
                  <c:v>salesforce</c:v>
                </c:pt>
                <c:pt idx="92">
                  <c:v>vk</c:v>
                </c:pt>
                <c:pt idx="93">
                  <c:v>adobe</c:v>
                </c:pt>
                <c:pt idx="94">
                  <c:v>windows</c:v>
                </c:pt>
                <c:pt idx="95">
                  <c:v>wix</c:v>
                </c:pt>
                <c:pt idx="96">
                  <c:v>linkedin</c:v>
                </c:pt>
                <c:pt idx="97">
                  <c:v>digicert</c:v>
                </c:pt>
                <c:pt idx="98">
                  <c:v>qq</c:v>
                </c:pt>
                <c:pt idx="99">
                  <c:v>hp</c:v>
                </c:pt>
                <c:pt idx="100">
                  <c:v>Average</c:v>
                </c:pt>
              </c:strCache>
            </c:strRef>
          </c:cat>
          <c:val>
            <c:numRef>
              <c:f>'FP Tracer Sites'!$B$2:$B$102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7</c:v>
                </c:pt>
                <c:pt idx="42">
                  <c:v>7</c:v>
                </c:pt>
                <c:pt idx="43">
                  <c:v>5</c:v>
                </c:pt>
                <c:pt idx="44">
                  <c:v>4</c:v>
                </c:pt>
                <c:pt idx="45">
                  <c:v>7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5</c:v>
                </c:pt>
                <c:pt idx="50">
                  <c:v>4</c:v>
                </c:pt>
                <c:pt idx="51">
                  <c:v>4</c:v>
                </c:pt>
                <c:pt idx="52">
                  <c:v>7</c:v>
                </c:pt>
                <c:pt idx="53">
                  <c:v>5</c:v>
                </c:pt>
                <c:pt idx="54">
                  <c:v>7</c:v>
                </c:pt>
                <c:pt idx="55">
                  <c:v>5</c:v>
                </c:pt>
                <c:pt idx="56">
                  <c:v>6</c:v>
                </c:pt>
                <c:pt idx="57">
                  <c:v>6</c:v>
                </c:pt>
                <c:pt idx="58">
                  <c:v>8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8</c:v>
                </c:pt>
                <c:pt idx="66">
                  <c:v>7</c:v>
                </c:pt>
                <c:pt idx="67">
                  <c:v>7</c:v>
                </c:pt>
                <c:pt idx="68">
                  <c:v>8</c:v>
                </c:pt>
                <c:pt idx="69">
                  <c:v>8</c:v>
                </c:pt>
                <c:pt idx="70">
                  <c:v>5</c:v>
                </c:pt>
                <c:pt idx="71">
                  <c:v>10</c:v>
                </c:pt>
                <c:pt idx="72">
                  <c:v>7</c:v>
                </c:pt>
                <c:pt idx="73">
                  <c:v>5</c:v>
                </c:pt>
                <c:pt idx="74">
                  <c:v>8</c:v>
                </c:pt>
                <c:pt idx="75">
                  <c:v>6</c:v>
                </c:pt>
                <c:pt idx="76">
                  <c:v>9</c:v>
                </c:pt>
                <c:pt idx="77">
                  <c:v>7</c:v>
                </c:pt>
                <c:pt idx="78">
                  <c:v>5</c:v>
                </c:pt>
                <c:pt idx="79">
                  <c:v>7</c:v>
                </c:pt>
                <c:pt idx="80">
                  <c:v>8</c:v>
                </c:pt>
                <c:pt idx="81">
                  <c:v>11</c:v>
                </c:pt>
                <c:pt idx="82">
                  <c:v>18</c:v>
                </c:pt>
                <c:pt idx="83">
                  <c:v>11</c:v>
                </c:pt>
                <c:pt idx="84">
                  <c:v>11</c:v>
                </c:pt>
                <c:pt idx="85">
                  <c:v>9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9</c:v>
                </c:pt>
                <c:pt idx="90">
                  <c:v>8</c:v>
                </c:pt>
                <c:pt idx="91">
                  <c:v>11</c:v>
                </c:pt>
                <c:pt idx="92">
                  <c:v>13</c:v>
                </c:pt>
                <c:pt idx="93">
                  <c:v>19</c:v>
                </c:pt>
                <c:pt idx="94">
                  <c:v>12</c:v>
                </c:pt>
                <c:pt idx="95">
                  <c:v>12</c:v>
                </c:pt>
                <c:pt idx="96">
                  <c:v>21</c:v>
                </c:pt>
                <c:pt idx="97">
                  <c:v>17</c:v>
                </c:pt>
                <c:pt idx="98">
                  <c:v>12</c:v>
                </c:pt>
                <c:pt idx="99">
                  <c:v>20</c:v>
                </c:pt>
                <c:pt idx="100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C-2441-BB01-70625572DDA3}"/>
            </c:ext>
          </c:extLst>
        </c:ser>
        <c:ser>
          <c:idx val="1"/>
          <c:order val="1"/>
          <c:tx>
            <c:strRef>
              <c:f>'FP Tracer Sites'!$C$1</c:f>
              <c:strCache>
                <c:ptCount val="1"/>
                <c:pt idx="0">
                  <c:v>API (Claude)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'FP Tracer Sites'!$A$2:$A$102</c:f>
              <c:strCache>
                <c:ptCount val="101"/>
                <c:pt idx="0">
                  <c:v>instagram</c:v>
                </c:pt>
                <c:pt idx="1">
                  <c:v>doi</c:v>
                </c:pt>
                <c:pt idx="2">
                  <c:v>mikrotik</c:v>
                </c:pt>
                <c:pt idx="3">
                  <c:v>netify</c:v>
                </c:pt>
                <c:pt idx="4">
                  <c:v>akamai</c:v>
                </c:pt>
                <c:pt idx="5">
                  <c:v>godaddy</c:v>
                </c:pt>
                <c:pt idx="6">
                  <c:v>t</c:v>
                </c:pt>
                <c:pt idx="7">
                  <c:v>amazon</c:v>
                </c:pt>
                <c:pt idx="8">
                  <c:v>wikipedia</c:v>
                </c:pt>
                <c:pt idx="9">
                  <c:v>spotify</c:v>
                </c:pt>
                <c:pt idx="10">
                  <c:v>merkle</c:v>
                </c:pt>
                <c:pt idx="11">
                  <c:v>whatsapp</c:v>
                </c:pt>
                <c:pt idx="12">
                  <c:v>0xrpc</c:v>
                </c:pt>
                <c:pt idx="13">
                  <c:v>facebook</c:v>
                </c:pt>
                <c:pt idx="14">
                  <c:v>chatgpt</c:v>
                </c:pt>
                <c:pt idx="15">
                  <c:v>netflix</c:v>
                </c:pt>
                <c:pt idx="16">
                  <c:v>gandi</c:v>
                </c:pt>
                <c:pt idx="17">
                  <c:v>apache</c:v>
                </c:pt>
                <c:pt idx="18">
                  <c:v>reddit</c:v>
                </c:pt>
                <c:pt idx="19">
                  <c:v>snapchat</c:v>
                </c:pt>
                <c:pt idx="20">
                  <c:v>archive</c:v>
                </c:pt>
                <c:pt idx="21">
                  <c:v>imdb</c:v>
                </c:pt>
                <c:pt idx="22">
                  <c:v>epicgames</c:v>
                </c:pt>
                <c:pt idx="23">
                  <c:v>wordpress</c:v>
                </c:pt>
                <c:pt idx="24">
                  <c:v>pinterest</c:v>
                </c:pt>
                <c:pt idx="25">
                  <c:v>venmo</c:v>
                </c:pt>
                <c:pt idx="26">
                  <c:v>twitter</c:v>
                </c:pt>
                <c:pt idx="27">
                  <c:v>nic.ru</c:v>
                </c:pt>
                <c:pt idx="28">
                  <c:v>blogspot</c:v>
                </c:pt>
                <c:pt idx="29">
                  <c:v>cpanel</c:v>
                </c:pt>
                <c:pt idx="30">
                  <c:v>hubspot</c:v>
                </c:pt>
                <c:pt idx="31">
                  <c:v>mozilla</c:v>
                </c:pt>
                <c:pt idx="32">
                  <c:v>europa</c:v>
                </c:pt>
                <c:pt idx="33">
                  <c:v>miui</c:v>
                </c:pt>
                <c:pt idx="34">
                  <c:v>google</c:v>
                </c:pt>
                <c:pt idx="35">
                  <c:v>samsungcloud</c:v>
                </c:pt>
                <c:pt idx="36">
                  <c:v>doubleverify</c:v>
                </c:pt>
                <c:pt idx="37">
                  <c:v>sentry</c:v>
                </c:pt>
                <c:pt idx="38">
                  <c:v>baidu</c:v>
                </c:pt>
                <c:pt idx="39">
                  <c:v>paypal</c:v>
                </c:pt>
                <c:pt idx="40">
                  <c:v>m365.cloud.microsoft</c:v>
                </c:pt>
                <c:pt idx="41">
                  <c:v>gtld-servers</c:v>
                </c:pt>
                <c:pt idx="42">
                  <c:v>tumblr</c:v>
                </c:pt>
                <c:pt idx="43">
                  <c:v>inmobi</c:v>
                </c:pt>
                <c:pt idx="44">
                  <c:v>scorecardresearch</c:v>
                </c:pt>
                <c:pt idx="45">
                  <c:v>appsflyersdk</c:v>
                </c:pt>
                <c:pt idx="46">
                  <c:v>roku</c:v>
                </c:pt>
                <c:pt idx="47">
                  <c:v>opera</c:v>
                </c:pt>
                <c:pt idx="48">
                  <c:v>ui</c:v>
                </c:pt>
                <c:pt idx="49">
                  <c:v>unity3d</c:v>
                </c:pt>
                <c:pt idx="50">
                  <c:v>applovin</c:v>
                </c:pt>
                <c:pt idx="51">
                  <c:v>discord</c:v>
                </c:pt>
                <c:pt idx="52">
                  <c:v>wordpress</c:v>
                </c:pt>
                <c:pt idx="53">
                  <c:v>grammarly</c:v>
                </c:pt>
                <c:pt idx="54">
                  <c:v>nginx</c:v>
                </c:pt>
                <c:pt idx="55">
                  <c:v>ntp</c:v>
                </c:pt>
                <c:pt idx="56">
                  <c:v>apple</c:v>
                </c:pt>
                <c:pt idx="57">
                  <c:v>bit.ly</c:v>
                </c:pt>
                <c:pt idx="58">
                  <c:v>mail.ru</c:v>
                </c:pt>
                <c:pt idx="59">
                  <c:v>intuit</c:v>
                </c:pt>
                <c:pt idx="60">
                  <c:v>okcdn.ru</c:v>
                </c:pt>
                <c:pt idx="61">
                  <c:v>moe.video</c:v>
                </c:pt>
                <c:pt idx="62">
                  <c:v>indexexchange</c:v>
                </c:pt>
                <c:pt idx="63">
                  <c:v>vimeo</c:v>
                </c:pt>
                <c:pt idx="64">
                  <c:v>f5</c:v>
                </c:pt>
                <c:pt idx="65">
                  <c:v>demdex</c:v>
                </c:pt>
                <c:pt idx="66">
                  <c:v>azure</c:v>
                </c:pt>
                <c:pt idx="67">
                  <c:v>dzen.ru</c:v>
                </c:pt>
                <c:pt idx="68">
                  <c:v>slack</c:v>
                </c:pt>
                <c:pt idx="69">
                  <c:v>fastly</c:v>
                </c:pt>
                <c:pt idx="70">
                  <c:v>xiaomi</c:v>
                </c:pt>
                <c:pt idx="71">
                  <c:v>googleapis</c:v>
                </c:pt>
                <c:pt idx="72">
                  <c:v>microsoft</c:v>
                </c:pt>
                <c:pt idx="73">
                  <c:v>e2ro</c:v>
                </c:pt>
                <c:pt idx="74">
                  <c:v>tiktok</c:v>
                </c:pt>
                <c:pt idx="75">
                  <c:v>trbcdn</c:v>
                </c:pt>
                <c:pt idx="76">
                  <c:v>amazonaws</c:v>
                </c:pt>
                <c:pt idx="77">
                  <c:v>kaspersky</c:v>
                </c:pt>
                <c:pt idx="78">
                  <c:v>amazonvideo</c:v>
                </c:pt>
                <c:pt idx="79">
                  <c:v>yandex</c:v>
                </c:pt>
                <c:pt idx="80">
                  <c:v>github</c:v>
                </c:pt>
                <c:pt idx="81">
                  <c:v>dropbox</c:v>
                </c:pt>
                <c:pt idx="82">
                  <c:v>roblox</c:v>
                </c:pt>
                <c:pt idx="83">
                  <c:v>yahoo</c:v>
                </c:pt>
                <c:pt idx="84">
                  <c:v>zoom</c:v>
                </c:pt>
                <c:pt idx="85">
                  <c:v>samsung</c:v>
                </c:pt>
                <c:pt idx="86">
                  <c:v>cloudflare</c:v>
                </c:pt>
                <c:pt idx="87">
                  <c:v>stripe</c:v>
                </c:pt>
                <c:pt idx="88">
                  <c:v>criteo</c:v>
                </c:pt>
                <c:pt idx="89">
                  <c:v>linktr</c:v>
                </c:pt>
                <c:pt idx="90">
                  <c:v>outlook</c:v>
                </c:pt>
                <c:pt idx="91">
                  <c:v>salesforce</c:v>
                </c:pt>
                <c:pt idx="92">
                  <c:v>vk</c:v>
                </c:pt>
                <c:pt idx="93">
                  <c:v>adobe</c:v>
                </c:pt>
                <c:pt idx="94">
                  <c:v>windows</c:v>
                </c:pt>
                <c:pt idx="95">
                  <c:v>wix</c:v>
                </c:pt>
                <c:pt idx="96">
                  <c:v>linkedin</c:v>
                </c:pt>
                <c:pt idx="97">
                  <c:v>digicert</c:v>
                </c:pt>
                <c:pt idx="98">
                  <c:v>qq</c:v>
                </c:pt>
                <c:pt idx="99">
                  <c:v>hp</c:v>
                </c:pt>
                <c:pt idx="100">
                  <c:v>Average</c:v>
                </c:pt>
              </c:strCache>
            </c:strRef>
          </c:cat>
          <c:val>
            <c:numRef>
              <c:f>'FP Tracer Sites'!$C$2:$C$102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5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5</c:v>
                </c:pt>
                <c:pt idx="33">
                  <c:v>0</c:v>
                </c:pt>
                <c:pt idx="34">
                  <c:v>12</c:v>
                </c:pt>
                <c:pt idx="35">
                  <c:v>4</c:v>
                </c:pt>
                <c:pt idx="36">
                  <c:v>7</c:v>
                </c:pt>
                <c:pt idx="37">
                  <c:v>3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8</c:v>
                </c:pt>
                <c:pt idx="42">
                  <c:v>9</c:v>
                </c:pt>
                <c:pt idx="43">
                  <c:v>11</c:v>
                </c:pt>
                <c:pt idx="44">
                  <c:v>6</c:v>
                </c:pt>
                <c:pt idx="45">
                  <c:v>12</c:v>
                </c:pt>
                <c:pt idx="46">
                  <c:v>6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5</c:v>
                </c:pt>
                <c:pt idx="51">
                  <c:v>6</c:v>
                </c:pt>
                <c:pt idx="52">
                  <c:v>11</c:v>
                </c:pt>
                <c:pt idx="53">
                  <c:v>11</c:v>
                </c:pt>
                <c:pt idx="54">
                  <c:v>15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5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10</c:v>
                </c:pt>
                <c:pt idx="68">
                  <c:v>11</c:v>
                </c:pt>
                <c:pt idx="69">
                  <c:v>14</c:v>
                </c:pt>
                <c:pt idx="70">
                  <c:v>9</c:v>
                </c:pt>
                <c:pt idx="71">
                  <c:v>0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12</c:v>
                </c:pt>
                <c:pt idx="77">
                  <c:v>12</c:v>
                </c:pt>
                <c:pt idx="78">
                  <c:v>8</c:v>
                </c:pt>
                <c:pt idx="79">
                  <c:v>0</c:v>
                </c:pt>
                <c:pt idx="80">
                  <c:v>10</c:v>
                </c:pt>
                <c:pt idx="81">
                  <c:v>16</c:v>
                </c:pt>
                <c:pt idx="82">
                  <c:v>22</c:v>
                </c:pt>
                <c:pt idx="83">
                  <c:v>16</c:v>
                </c:pt>
                <c:pt idx="84">
                  <c:v>17</c:v>
                </c:pt>
                <c:pt idx="85">
                  <c:v>16</c:v>
                </c:pt>
                <c:pt idx="86">
                  <c:v>17</c:v>
                </c:pt>
                <c:pt idx="87">
                  <c:v>16</c:v>
                </c:pt>
                <c:pt idx="88">
                  <c:v>15</c:v>
                </c:pt>
                <c:pt idx="89">
                  <c:v>15</c:v>
                </c:pt>
                <c:pt idx="90">
                  <c:v>10</c:v>
                </c:pt>
                <c:pt idx="91">
                  <c:v>17</c:v>
                </c:pt>
                <c:pt idx="92">
                  <c:v>16</c:v>
                </c:pt>
                <c:pt idx="93">
                  <c:v>24</c:v>
                </c:pt>
                <c:pt idx="94">
                  <c:v>14</c:v>
                </c:pt>
                <c:pt idx="95">
                  <c:v>16</c:v>
                </c:pt>
                <c:pt idx="96">
                  <c:v>22</c:v>
                </c:pt>
                <c:pt idx="97">
                  <c:v>21</c:v>
                </c:pt>
                <c:pt idx="98">
                  <c:v>16</c:v>
                </c:pt>
                <c:pt idx="99">
                  <c:v>25</c:v>
                </c:pt>
                <c:pt idx="100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C-2441-BB01-70625572DDA3}"/>
            </c:ext>
          </c:extLst>
        </c:ser>
        <c:ser>
          <c:idx val="2"/>
          <c:order val="2"/>
          <c:tx>
            <c:strRef>
              <c:f>'FP Tracer Sites'!$D$1</c:f>
              <c:strCache>
                <c:ptCount val="1"/>
                <c:pt idx="0">
                  <c:v>Cat Total (GPT)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'FP Tracer Sites'!$A$2:$A$102</c:f>
              <c:strCache>
                <c:ptCount val="101"/>
                <c:pt idx="0">
                  <c:v>instagram</c:v>
                </c:pt>
                <c:pt idx="1">
                  <c:v>doi</c:v>
                </c:pt>
                <c:pt idx="2">
                  <c:v>mikrotik</c:v>
                </c:pt>
                <c:pt idx="3">
                  <c:v>netify</c:v>
                </c:pt>
                <c:pt idx="4">
                  <c:v>akamai</c:v>
                </c:pt>
                <c:pt idx="5">
                  <c:v>godaddy</c:v>
                </c:pt>
                <c:pt idx="6">
                  <c:v>t</c:v>
                </c:pt>
                <c:pt idx="7">
                  <c:v>amazon</c:v>
                </c:pt>
                <c:pt idx="8">
                  <c:v>wikipedia</c:v>
                </c:pt>
                <c:pt idx="9">
                  <c:v>spotify</c:v>
                </c:pt>
                <c:pt idx="10">
                  <c:v>merkle</c:v>
                </c:pt>
                <c:pt idx="11">
                  <c:v>whatsapp</c:v>
                </c:pt>
                <c:pt idx="12">
                  <c:v>0xrpc</c:v>
                </c:pt>
                <c:pt idx="13">
                  <c:v>facebook</c:v>
                </c:pt>
                <c:pt idx="14">
                  <c:v>chatgpt</c:v>
                </c:pt>
                <c:pt idx="15">
                  <c:v>netflix</c:v>
                </c:pt>
                <c:pt idx="16">
                  <c:v>gandi</c:v>
                </c:pt>
                <c:pt idx="17">
                  <c:v>apache</c:v>
                </c:pt>
                <c:pt idx="18">
                  <c:v>reddit</c:v>
                </c:pt>
                <c:pt idx="19">
                  <c:v>snapchat</c:v>
                </c:pt>
                <c:pt idx="20">
                  <c:v>archive</c:v>
                </c:pt>
                <c:pt idx="21">
                  <c:v>imdb</c:v>
                </c:pt>
                <c:pt idx="22">
                  <c:v>epicgames</c:v>
                </c:pt>
                <c:pt idx="23">
                  <c:v>wordpress</c:v>
                </c:pt>
                <c:pt idx="24">
                  <c:v>pinterest</c:v>
                </c:pt>
                <c:pt idx="25">
                  <c:v>venmo</c:v>
                </c:pt>
                <c:pt idx="26">
                  <c:v>twitter</c:v>
                </c:pt>
                <c:pt idx="27">
                  <c:v>nic.ru</c:v>
                </c:pt>
                <c:pt idx="28">
                  <c:v>blogspot</c:v>
                </c:pt>
                <c:pt idx="29">
                  <c:v>cpanel</c:v>
                </c:pt>
                <c:pt idx="30">
                  <c:v>hubspot</c:v>
                </c:pt>
                <c:pt idx="31">
                  <c:v>mozilla</c:v>
                </c:pt>
                <c:pt idx="32">
                  <c:v>europa</c:v>
                </c:pt>
                <c:pt idx="33">
                  <c:v>miui</c:v>
                </c:pt>
                <c:pt idx="34">
                  <c:v>google</c:v>
                </c:pt>
                <c:pt idx="35">
                  <c:v>samsungcloud</c:v>
                </c:pt>
                <c:pt idx="36">
                  <c:v>doubleverify</c:v>
                </c:pt>
                <c:pt idx="37">
                  <c:v>sentry</c:v>
                </c:pt>
                <c:pt idx="38">
                  <c:v>baidu</c:v>
                </c:pt>
                <c:pt idx="39">
                  <c:v>paypal</c:v>
                </c:pt>
                <c:pt idx="40">
                  <c:v>m365.cloud.microsoft</c:v>
                </c:pt>
                <c:pt idx="41">
                  <c:v>gtld-servers</c:v>
                </c:pt>
                <c:pt idx="42">
                  <c:v>tumblr</c:v>
                </c:pt>
                <c:pt idx="43">
                  <c:v>inmobi</c:v>
                </c:pt>
                <c:pt idx="44">
                  <c:v>scorecardresearch</c:v>
                </c:pt>
                <c:pt idx="45">
                  <c:v>appsflyersdk</c:v>
                </c:pt>
                <c:pt idx="46">
                  <c:v>roku</c:v>
                </c:pt>
                <c:pt idx="47">
                  <c:v>opera</c:v>
                </c:pt>
                <c:pt idx="48">
                  <c:v>ui</c:v>
                </c:pt>
                <c:pt idx="49">
                  <c:v>unity3d</c:v>
                </c:pt>
                <c:pt idx="50">
                  <c:v>applovin</c:v>
                </c:pt>
                <c:pt idx="51">
                  <c:v>discord</c:v>
                </c:pt>
                <c:pt idx="52">
                  <c:v>wordpress</c:v>
                </c:pt>
                <c:pt idx="53">
                  <c:v>grammarly</c:v>
                </c:pt>
                <c:pt idx="54">
                  <c:v>nginx</c:v>
                </c:pt>
                <c:pt idx="55">
                  <c:v>ntp</c:v>
                </c:pt>
                <c:pt idx="56">
                  <c:v>apple</c:v>
                </c:pt>
                <c:pt idx="57">
                  <c:v>bit.ly</c:v>
                </c:pt>
                <c:pt idx="58">
                  <c:v>mail.ru</c:v>
                </c:pt>
                <c:pt idx="59">
                  <c:v>intuit</c:v>
                </c:pt>
                <c:pt idx="60">
                  <c:v>okcdn.ru</c:v>
                </c:pt>
                <c:pt idx="61">
                  <c:v>moe.video</c:v>
                </c:pt>
                <c:pt idx="62">
                  <c:v>indexexchange</c:v>
                </c:pt>
                <c:pt idx="63">
                  <c:v>vimeo</c:v>
                </c:pt>
                <c:pt idx="64">
                  <c:v>f5</c:v>
                </c:pt>
                <c:pt idx="65">
                  <c:v>demdex</c:v>
                </c:pt>
                <c:pt idx="66">
                  <c:v>azure</c:v>
                </c:pt>
                <c:pt idx="67">
                  <c:v>dzen.ru</c:v>
                </c:pt>
                <c:pt idx="68">
                  <c:v>slack</c:v>
                </c:pt>
                <c:pt idx="69">
                  <c:v>fastly</c:v>
                </c:pt>
                <c:pt idx="70">
                  <c:v>xiaomi</c:v>
                </c:pt>
                <c:pt idx="71">
                  <c:v>googleapis</c:v>
                </c:pt>
                <c:pt idx="72">
                  <c:v>microsoft</c:v>
                </c:pt>
                <c:pt idx="73">
                  <c:v>e2ro</c:v>
                </c:pt>
                <c:pt idx="74">
                  <c:v>tiktok</c:v>
                </c:pt>
                <c:pt idx="75">
                  <c:v>trbcdn</c:v>
                </c:pt>
                <c:pt idx="76">
                  <c:v>amazonaws</c:v>
                </c:pt>
                <c:pt idx="77">
                  <c:v>kaspersky</c:v>
                </c:pt>
                <c:pt idx="78">
                  <c:v>amazonvideo</c:v>
                </c:pt>
                <c:pt idx="79">
                  <c:v>yandex</c:v>
                </c:pt>
                <c:pt idx="80">
                  <c:v>github</c:v>
                </c:pt>
                <c:pt idx="81">
                  <c:v>dropbox</c:v>
                </c:pt>
                <c:pt idx="82">
                  <c:v>roblox</c:v>
                </c:pt>
                <c:pt idx="83">
                  <c:v>yahoo</c:v>
                </c:pt>
                <c:pt idx="84">
                  <c:v>zoom</c:v>
                </c:pt>
                <c:pt idx="85">
                  <c:v>samsung</c:v>
                </c:pt>
                <c:pt idx="86">
                  <c:v>cloudflare</c:v>
                </c:pt>
                <c:pt idx="87">
                  <c:v>stripe</c:v>
                </c:pt>
                <c:pt idx="88">
                  <c:v>criteo</c:v>
                </c:pt>
                <c:pt idx="89">
                  <c:v>linktr</c:v>
                </c:pt>
                <c:pt idx="90">
                  <c:v>outlook</c:v>
                </c:pt>
                <c:pt idx="91">
                  <c:v>salesforce</c:v>
                </c:pt>
                <c:pt idx="92">
                  <c:v>vk</c:v>
                </c:pt>
                <c:pt idx="93">
                  <c:v>adobe</c:v>
                </c:pt>
                <c:pt idx="94">
                  <c:v>windows</c:v>
                </c:pt>
                <c:pt idx="95">
                  <c:v>wix</c:v>
                </c:pt>
                <c:pt idx="96">
                  <c:v>linkedin</c:v>
                </c:pt>
                <c:pt idx="97">
                  <c:v>digicert</c:v>
                </c:pt>
                <c:pt idx="98">
                  <c:v>qq</c:v>
                </c:pt>
                <c:pt idx="99">
                  <c:v>hp</c:v>
                </c:pt>
                <c:pt idx="100">
                  <c:v>Average</c:v>
                </c:pt>
              </c:strCache>
            </c:strRef>
          </c:cat>
          <c:val>
            <c:numRef>
              <c:f>'FP Tracer Sites'!$D$2:$D$102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AC-2441-BB01-70625572DDA3}"/>
            </c:ext>
          </c:extLst>
        </c:ser>
        <c:ser>
          <c:idx val="3"/>
          <c:order val="3"/>
          <c:tx>
            <c:strRef>
              <c:f>'FP Tracer Sites'!$E$1</c:f>
              <c:strCache>
                <c:ptCount val="1"/>
                <c:pt idx="0">
                  <c:v>Cat Total (Claude)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'FP Tracer Sites'!$A$2:$A$102</c:f>
              <c:strCache>
                <c:ptCount val="101"/>
                <c:pt idx="0">
                  <c:v>instagram</c:v>
                </c:pt>
                <c:pt idx="1">
                  <c:v>doi</c:v>
                </c:pt>
                <c:pt idx="2">
                  <c:v>mikrotik</c:v>
                </c:pt>
                <c:pt idx="3">
                  <c:v>netify</c:v>
                </c:pt>
                <c:pt idx="4">
                  <c:v>akamai</c:v>
                </c:pt>
                <c:pt idx="5">
                  <c:v>godaddy</c:v>
                </c:pt>
                <c:pt idx="6">
                  <c:v>t</c:v>
                </c:pt>
                <c:pt idx="7">
                  <c:v>amazon</c:v>
                </c:pt>
                <c:pt idx="8">
                  <c:v>wikipedia</c:v>
                </c:pt>
                <c:pt idx="9">
                  <c:v>spotify</c:v>
                </c:pt>
                <c:pt idx="10">
                  <c:v>merkle</c:v>
                </c:pt>
                <c:pt idx="11">
                  <c:v>whatsapp</c:v>
                </c:pt>
                <c:pt idx="12">
                  <c:v>0xrpc</c:v>
                </c:pt>
                <c:pt idx="13">
                  <c:v>facebook</c:v>
                </c:pt>
                <c:pt idx="14">
                  <c:v>chatgpt</c:v>
                </c:pt>
                <c:pt idx="15">
                  <c:v>netflix</c:v>
                </c:pt>
                <c:pt idx="16">
                  <c:v>gandi</c:v>
                </c:pt>
                <c:pt idx="17">
                  <c:v>apache</c:v>
                </c:pt>
                <c:pt idx="18">
                  <c:v>reddit</c:v>
                </c:pt>
                <c:pt idx="19">
                  <c:v>snapchat</c:v>
                </c:pt>
                <c:pt idx="20">
                  <c:v>archive</c:v>
                </c:pt>
                <c:pt idx="21">
                  <c:v>imdb</c:v>
                </c:pt>
                <c:pt idx="22">
                  <c:v>epicgames</c:v>
                </c:pt>
                <c:pt idx="23">
                  <c:v>wordpress</c:v>
                </c:pt>
                <c:pt idx="24">
                  <c:v>pinterest</c:v>
                </c:pt>
                <c:pt idx="25">
                  <c:v>venmo</c:v>
                </c:pt>
                <c:pt idx="26">
                  <c:v>twitter</c:v>
                </c:pt>
                <c:pt idx="27">
                  <c:v>nic.ru</c:v>
                </c:pt>
                <c:pt idx="28">
                  <c:v>blogspot</c:v>
                </c:pt>
                <c:pt idx="29">
                  <c:v>cpanel</c:v>
                </c:pt>
                <c:pt idx="30">
                  <c:v>hubspot</c:v>
                </c:pt>
                <c:pt idx="31">
                  <c:v>mozilla</c:v>
                </c:pt>
                <c:pt idx="32">
                  <c:v>europa</c:v>
                </c:pt>
                <c:pt idx="33">
                  <c:v>miui</c:v>
                </c:pt>
                <c:pt idx="34">
                  <c:v>google</c:v>
                </c:pt>
                <c:pt idx="35">
                  <c:v>samsungcloud</c:v>
                </c:pt>
                <c:pt idx="36">
                  <c:v>doubleverify</c:v>
                </c:pt>
                <c:pt idx="37">
                  <c:v>sentry</c:v>
                </c:pt>
                <c:pt idx="38">
                  <c:v>baidu</c:v>
                </c:pt>
                <c:pt idx="39">
                  <c:v>paypal</c:v>
                </c:pt>
                <c:pt idx="40">
                  <c:v>m365.cloud.microsoft</c:v>
                </c:pt>
                <c:pt idx="41">
                  <c:v>gtld-servers</c:v>
                </c:pt>
                <c:pt idx="42">
                  <c:v>tumblr</c:v>
                </c:pt>
                <c:pt idx="43">
                  <c:v>inmobi</c:v>
                </c:pt>
                <c:pt idx="44">
                  <c:v>scorecardresearch</c:v>
                </c:pt>
                <c:pt idx="45">
                  <c:v>appsflyersdk</c:v>
                </c:pt>
                <c:pt idx="46">
                  <c:v>roku</c:v>
                </c:pt>
                <c:pt idx="47">
                  <c:v>opera</c:v>
                </c:pt>
                <c:pt idx="48">
                  <c:v>ui</c:v>
                </c:pt>
                <c:pt idx="49">
                  <c:v>unity3d</c:v>
                </c:pt>
                <c:pt idx="50">
                  <c:v>applovin</c:v>
                </c:pt>
                <c:pt idx="51">
                  <c:v>discord</c:v>
                </c:pt>
                <c:pt idx="52">
                  <c:v>wordpress</c:v>
                </c:pt>
                <c:pt idx="53">
                  <c:v>grammarly</c:v>
                </c:pt>
                <c:pt idx="54">
                  <c:v>nginx</c:v>
                </c:pt>
                <c:pt idx="55">
                  <c:v>ntp</c:v>
                </c:pt>
                <c:pt idx="56">
                  <c:v>apple</c:v>
                </c:pt>
                <c:pt idx="57">
                  <c:v>bit.ly</c:v>
                </c:pt>
                <c:pt idx="58">
                  <c:v>mail.ru</c:v>
                </c:pt>
                <c:pt idx="59">
                  <c:v>intuit</c:v>
                </c:pt>
                <c:pt idx="60">
                  <c:v>okcdn.ru</c:v>
                </c:pt>
                <c:pt idx="61">
                  <c:v>moe.video</c:v>
                </c:pt>
                <c:pt idx="62">
                  <c:v>indexexchange</c:v>
                </c:pt>
                <c:pt idx="63">
                  <c:v>vimeo</c:v>
                </c:pt>
                <c:pt idx="64">
                  <c:v>f5</c:v>
                </c:pt>
                <c:pt idx="65">
                  <c:v>demdex</c:v>
                </c:pt>
                <c:pt idx="66">
                  <c:v>azure</c:v>
                </c:pt>
                <c:pt idx="67">
                  <c:v>dzen.ru</c:v>
                </c:pt>
                <c:pt idx="68">
                  <c:v>slack</c:v>
                </c:pt>
                <c:pt idx="69">
                  <c:v>fastly</c:v>
                </c:pt>
                <c:pt idx="70">
                  <c:v>xiaomi</c:v>
                </c:pt>
                <c:pt idx="71">
                  <c:v>googleapis</c:v>
                </c:pt>
                <c:pt idx="72">
                  <c:v>microsoft</c:v>
                </c:pt>
                <c:pt idx="73">
                  <c:v>e2ro</c:v>
                </c:pt>
                <c:pt idx="74">
                  <c:v>tiktok</c:v>
                </c:pt>
                <c:pt idx="75">
                  <c:v>trbcdn</c:v>
                </c:pt>
                <c:pt idx="76">
                  <c:v>amazonaws</c:v>
                </c:pt>
                <c:pt idx="77">
                  <c:v>kaspersky</c:v>
                </c:pt>
                <c:pt idx="78">
                  <c:v>amazonvideo</c:v>
                </c:pt>
                <c:pt idx="79">
                  <c:v>yandex</c:v>
                </c:pt>
                <c:pt idx="80">
                  <c:v>github</c:v>
                </c:pt>
                <c:pt idx="81">
                  <c:v>dropbox</c:v>
                </c:pt>
                <c:pt idx="82">
                  <c:v>roblox</c:v>
                </c:pt>
                <c:pt idx="83">
                  <c:v>yahoo</c:v>
                </c:pt>
                <c:pt idx="84">
                  <c:v>zoom</c:v>
                </c:pt>
                <c:pt idx="85">
                  <c:v>samsung</c:v>
                </c:pt>
                <c:pt idx="86">
                  <c:v>cloudflare</c:v>
                </c:pt>
                <c:pt idx="87">
                  <c:v>stripe</c:v>
                </c:pt>
                <c:pt idx="88">
                  <c:v>criteo</c:v>
                </c:pt>
                <c:pt idx="89">
                  <c:v>linktr</c:v>
                </c:pt>
                <c:pt idx="90">
                  <c:v>outlook</c:v>
                </c:pt>
                <c:pt idx="91">
                  <c:v>salesforce</c:v>
                </c:pt>
                <c:pt idx="92">
                  <c:v>vk</c:v>
                </c:pt>
                <c:pt idx="93">
                  <c:v>adobe</c:v>
                </c:pt>
                <c:pt idx="94">
                  <c:v>windows</c:v>
                </c:pt>
                <c:pt idx="95">
                  <c:v>wix</c:v>
                </c:pt>
                <c:pt idx="96">
                  <c:v>linkedin</c:v>
                </c:pt>
                <c:pt idx="97">
                  <c:v>digicert</c:v>
                </c:pt>
                <c:pt idx="98">
                  <c:v>qq</c:v>
                </c:pt>
                <c:pt idx="99">
                  <c:v>hp</c:v>
                </c:pt>
                <c:pt idx="100">
                  <c:v>Average</c:v>
                </c:pt>
              </c:strCache>
            </c:strRef>
          </c:cat>
          <c:val>
            <c:numRef>
              <c:f>'FP Tracer Sites'!$E$2:$E$102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8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0</c:v>
                </c:pt>
                <c:pt idx="82">
                  <c:v>0</c:v>
                </c:pt>
                <c:pt idx="83">
                  <c:v>3</c:v>
                </c:pt>
                <c:pt idx="84">
                  <c:v>3</c:v>
                </c:pt>
                <c:pt idx="85">
                  <c:v>5</c:v>
                </c:pt>
                <c:pt idx="86">
                  <c:v>5</c:v>
                </c:pt>
                <c:pt idx="87">
                  <c:v>6</c:v>
                </c:pt>
                <c:pt idx="88">
                  <c:v>7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0</c:v>
                </c:pt>
                <c:pt idx="93">
                  <c:v>3</c:v>
                </c:pt>
                <c:pt idx="94">
                  <c:v>4</c:v>
                </c:pt>
                <c:pt idx="95">
                  <c:v>4</c:v>
                </c:pt>
                <c:pt idx="96">
                  <c:v>0</c:v>
                </c:pt>
                <c:pt idx="97">
                  <c:v>3</c:v>
                </c:pt>
                <c:pt idx="98">
                  <c:v>8</c:v>
                </c:pt>
                <c:pt idx="99">
                  <c:v>8</c:v>
                </c:pt>
                <c:pt idx="100">
                  <c:v>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AC-2441-BB01-70625572DD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70367039"/>
        <c:axId val="670363455"/>
      </c:barChart>
      <c:catAx>
        <c:axId val="67036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63455"/>
        <c:crosses val="autoZero"/>
        <c:auto val="1"/>
        <c:lblAlgn val="ctr"/>
        <c:lblOffset val="100"/>
        <c:noMultiLvlLbl val="0"/>
      </c:catAx>
      <c:valAx>
        <c:axId val="67036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6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037335063087984E-2"/>
          <c:y val="3.4777073058558962E-2"/>
          <c:w val="0.95592532987382406"/>
          <c:h val="0.608729367493889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'Jshelter Sites'!$D$1</c:f>
              <c:strCache>
                <c:ptCount val="1"/>
                <c:pt idx="0">
                  <c:v>Cat (GPT)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multiLvlStrRef>
              <c:f>'Jshelter Sites'!$A$2:$B$102</c:f>
              <c:multiLvlStrCache>
                <c:ptCount val="101"/>
                <c:lvl>
                  <c:pt idx="0">
                    <c:v>mail.ru</c:v>
                  </c:pt>
                  <c:pt idx="1">
                    <c:v>trbcdn</c:v>
                  </c:pt>
                  <c:pt idx="2">
                    <c:v>googleapis</c:v>
                  </c:pt>
                  <c:pt idx="3">
                    <c:v>baidu</c:v>
                  </c:pt>
                  <c:pt idx="4">
                    <c:v>apache</c:v>
                  </c:pt>
                  <c:pt idx="5">
                    <c:v>doi</c:v>
                  </c:pt>
                  <c:pt idx="6">
                    <c:v>netify</c:v>
                  </c:pt>
                  <c:pt idx="7">
                    <c:v>t</c:v>
                  </c:pt>
                  <c:pt idx="8">
                    <c:v>gandi</c:v>
                  </c:pt>
                  <c:pt idx="9">
                    <c:v>miui</c:v>
                  </c:pt>
                  <c:pt idx="10">
                    <c:v>demdex</c:v>
                  </c:pt>
                  <c:pt idx="11">
                    <c:v>roku</c:v>
                  </c:pt>
                  <c:pt idx="12">
                    <c:v>qq</c:v>
                  </c:pt>
                  <c:pt idx="13">
                    <c:v>pinterest</c:v>
                  </c:pt>
                  <c:pt idx="14">
                    <c:v>merkle</c:v>
                  </c:pt>
                  <c:pt idx="15">
                    <c:v>netflix</c:v>
                  </c:pt>
                  <c:pt idx="16">
                    <c:v>whatsapp</c:v>
                  </c:pt>
                  <c:pt idx="17">
                    <c:v>ui</c:v>
                  </c:pt>
                  <c:pt idx="18">
                    <c:v>yandex</c:v>
                  </c:pt>
                  <c:pt idx="19">
                    <c:v>sentry</c:v>
                  </c:pt>
                  <c:pt idx="20">
                    <c:v>scorecardresearch</c:v>
                  </c:pt>
                  <c:pt idx="21">
                    <c:v>microsoft</c:v>
                  </c:pt>
                  <c:pt idx="22">
                    <c:v>imdb</c:v>
                  </c:pt>
                  <c:pt idx="23">
                    <c:v>twitter</c:v>
                  </c:pt>
                  <c:pt idx="24">
                    <c:v>vimeo</c:v>
                  </c:pt>
                  <c:pt idx="25">
                    <c:v>gtld-servers</c:v>
                  </c:pt>
                  <c:pt idx="26">
                    <c:v>wikipedia</c:v>
                  </c:pt>
                  <c:pt idx="27">
                    <c:v>roblox</c:v>
                  </c:pt>
                  <c:pt idx="28">
                    <c:v>tumblr</c:v>
                  </c:pt>
                  <c:pt idx="29">
                    <c:v>salesforce</c:v>
                  </c:pt>
                  <c:pt idx="30">
                    <c:v>0xrpc</c:v>
                  </c:pt>
                  <c:pt idx="31">
                    <c:v>mikrotik</c:v>
                  </c:pt>
                  <c:pt idx="32">
                    <c:v>github</c:v>
                  </c:pt>
                  <c:pt idx="33">
                    <c:v>opera</c:v>
                  </c:pt>
                  <c:pt idx="34">
                    <c:v>dzen.ru</c:v>
                  </c:pt>
                  <c:pt idx="35">
                    <c:v>archive</c:v>
                  </c:pt>
                  <c:pt idx="36">
                    <c:v>cloudflare</c:v>
                  </c:pt>
                  <c:pt idx="37">
                    <c:v>indexexchange</c:v>
                  </c:pt>
                  <c:pt idx="38">
                    <c:v>tiktok</c:v>
                  </c:pt>
                  <c:pt idx="39">
                    <c:v>wordpress</c:v>
                  </c:pt>
                  <c:pt idx="40">
                    <c:v>snapchat</c:v>
                  </c:pt>
                  <c:pt idx="41">
                    <c:v>outlook</c:v>
                  </c:pt>
                  <c:pt idx="42">
                    <c:v>wordpress</c:v>
                  </c:pt>
                  <c:pt idx="43">
                    <c:v>europa</c:v>
                  </c:pt>
                  <c:pt idx="44">
                    <c:v>mozilla</c:v>
                  </c:pt>
                  <c:pt idx="45">
                    <c:v>apple</c:v>
                  </c:pt>
                  <c:pt idx="46">
                    <c:v>yahoo</c:v>
                  </c:pt>
                  <c:pt idx="47">
                    <c:v>paypal</c:v>
                  </c:pt>
                  <c:pt idx="48">
                    <c:v>nginx</c:v>
                  </c:pt>
                  <c:pt idx="49">
                    <c:v>discord</c:v>
                  </c:pt>
                  <c:pt idx="50">
                    <c:v>venmo</c:v>
                  </c:pt>
                  <c:pt idx="51">
                    <c:v>e2ro</c:v>
                  </c:pt>
                  <c:pt idx="52">
                    <c:v>blogspot</c:v>
                  </c:pt>
                  <c:pt idx="53">
                    <c:v>xiaomi</c:v>
                  </c:pt>
                  <c:pt idx="54">
                    <c:v>zoom</c:v>
                  </c:pt>
                  <c:pt idx="55">
                    <c:v>amazonaws</c:v>
                  </c:pt>
                  <c:pt idx="56">
                    <c:v>ntp</c:v>
                  </c:pt>
                  <c:pt idx="57">
                    <c:v>facebook</c:v>
                  </c:pt>
                  <c:pt idx="58">
                    <c:v>instagram</c:v>
                  </c:pt>
                  <c:pt idx="59">
                    <c:v>spotify</c:v>
                  </c:pt>
                  <c:pt idx="60">
                    <c:v>digicert</c:v>
                  </c:pt>
                  <c:pt idx="61">
                    <c:v>m365.cloud.microsoft</c:v>
                  </c:pt>
                  <c:pt idx="62">
                    <c:v>amazonvideo</c:v>
                  </c:pt>
                  <c:pt idx="63">
                    <c:v>criteo</c:v>
                  </c:pt>
                  <c:pt idx="64">
                    <c:v>kaspersky</c:v>
                  </c:pt>
                  <c:pt idx="65">
                    <c:v>intuit</c:v>
                  </c:pt>
                  <c:pt idx="66">
                    <c:v>stripe</c:v>
                  </c:pt>
                  <c:pt idx="67">
                    <c:v>grammarly</c:v>
                  </c:pt>
                  <c:pt idx="68">
                    <c:v>fastly</c:v>
                  </c:pt>
                  <c:pt idx="69">
                    <c:v>unity3d</c:v>
                  </c:pt>
                  <c:pt idx="70">
                    <c:v>dropbox</c:v>
                  </c:pt>
                  <c:pt idx="71">
                    <c:v>wix</c:v>
                  </c:pt>
                  <c:pt idx="72">
                    <c:v>samsung</c:v>
                  </c:pt>
                  <c:pt idx="73">
                    <c:v>azure</c:v>
                  </c:pt>
                  <c:pt idx="74">
                    <c:v>windows</c:v>
                  </c:pt>
                  <c:pt idx="75">
                    <c:v>appsflyersdk</c:v>
                  </c:pt>
                  <c:pt idx="76">
                    <c:v>chatgpt</c:v>
                  </c:pt>
                  <c:pt idx="77">
                    <c:v>epicgames</c:v>
                  </c:pt>
                  <c:pt idx="78">
                    <c:v>amazon</c:v>
                  </c:pt>
                  <c:pt idx="79">
                    <c:v>akamai</c:v>
                  </c:pt>
                  <c:pt idx="80">
                    <c:v>linkedin</c:v>
                  </c:pt>
                  <c:pt idx="81">
                    <c:v>slack</c:v>
                  </c:pt>
                  <c:pt idx="82">
                    <c:v>google</c:v>
                  </c:pt>
                  <c:pt idx="83">
                    <c:v>samsungcloud</c:v>
                  </c:pt>
                  <c:pt idx="84">
                    <c:v>adobe</c:v>
                  </c:pt>
                  <c:pt idx="85">
                    <c:v>hubspot</c:v>
                  </c:pt>
                  <c:pt idx="86">
                    <c:v>hp</c:v>
                  </c:pt>
                  <c:pt idx="87">
                    <c:v>nic.ru</c:v>
                  </c:pt>
                  <c:pt idx="88">
                    <c:v>inmobi</c:v>
                  </c:pt>
                  <c:pt idx="89">
                    <c:v>bit.ly</c:v>
                  </c:pt>
                  <c:pt idx="90">
                    <c:v>applovin</c:v>
                  </c:pt>
                  <c:pt idx="91">
                    <c:v>doubleverify</c:v>
                  </c:pt>
                  <c:pt idx="92">
                    <c:v>reddit</c:v>
                  </c:pt>
                  <c:pt idx="93">
                    <c:v>f5</c:v>
                  </c:pt>
                  <c:pt idx="94">
                    <c:v>linktr</c:v>
                  </c:pt>
                  <c:pt idx="95">
                    <c:v>cpanel</c:v>
                  </c:pt>
                  <c:pt idx="96">
                    <c:v>vk</c:v>
                  </c:pt>
                  <c:pt idx="97">
                    <c:v>moe.video</c:v>
                  </c:pt>
                  <c:pt idx="98">
                    <c:v>okcdn.ru</c:v>
                  </c:pt>
                  <c:pt idx="99">
                    <c:v>godaddy</c:v>
                  </c:pt>
                </c:lvl>
                <c:lvl>
                  <c:pt idx="0">
                    <c:v>Negligible</c:v>
                  </c:pt>
                  <c:pt idx="57">
                    <c:v>Low</c:v>
                  </c:pt>
                  <c:pt idx="76">
                    <c:v>Moderate</c:v>
                  </c:pt>
                  <c:pt idx="79">
                    <c:v>High</c:v>
                  </c:pt>
                  <c:pt idx="83">
                    <c:v>Very High</c:v>
                  </c:pt>
                  <c:pt idx="100">
                    <c:v>Average</c:v>
                  </c:pt>
                </c:lvl>
              </c:multiLvlStrCache>
            </c:multiLvlStrRef>
          </c:cat>
          <c:val>
            <c:numRef>
              <c:f>'Jshelter Sites'!$D$2:$D$102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10</c:v>
                </c:pt>
                <c:pt idx="57">
                  <c:v>7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10</c:v>
                </c:pt>
                <c:pt idx="77">
                  <c:v>10</c:v>
                </c:pt>
                <c:pt idx="78">
                  <c:v>11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13</c:v>
                </c:pt>
                <c:pt idx="83">
                  <c:v>11</c:v>
                </c:pt>
                <c:pt idx="84">
                  <c:v>12</c:v>
                </c:pt>
                <c:pt idx="85">
                  <c:v>12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0-364F-A833-6673C3E15936}"/>
            </c:ext>
          </c:extLst>
        </c:ser>
        <c:ser>
          <c:idx val="2"/>
          <c:order val="1"/>
          <c:tx>
            <c:strRef>
              <c:f>'Jshelter Sites'!$E$1</c:f>
              <c:strCache>
                <c:ptCount val="1"/>
                <c:pt idx="0">
                  <c:v>Cat (Claude)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multiLvlStrRef>
              <c:f>'Jshelter Sites'!$A$2:$B$102</c:f>
              <c:multiLvlStrCache>
                <c:ptCount val="101"/>
                <c:lvl>
                  <c:pt idx="0">
                    <c:v>mail.ru</c:v>
                  </c:pt>
                  <c:pt idx="1">
                    <c:v>trbcdn</c:v>
                  </c:pt>
                  <c:pt idx="2">
                    <c:v>googleapis</c:v>
                  </c:pt>
                  <c:pt idx="3">
                    <c:v>baidu</c:v>
                  </c:pt>
                  <c:pt idx="4">
                    <c:v>apache</c:v>
                  </c:pt>
                  <c:pt idx="5">
                    <c:v>doi</c:v>
                  </c:pt>
                  <c:pt idx="6">
                    <c:v>netify</c:v>
                  </c:pt>
                  <c:pt idx="7">
                    <c:v>t</c:v>
                  </c:pt>
                  <c:pt idx="8">
                    <c:v>gandi</c:v>
                  </c:pt>
                  <c:pt idx="9">
                    <c:v>miui</c:v>
                  </c:pt>
                  <c:pt idx="10">
                    <c:v>demdex</c:v>
                  </c:pt>
                  <c:pt idx="11">
                    <c:v>roku</c:v>
                  </c:pt>
                  <c:pt idx="12">
                    <c:v>qq</c:v>
                  </c:pt>
                  <c:pt idx="13">
                    <c:v>pinterest</c:v>
                  </c:pt>
                  <c:pt idx="14">
                    <c:v>merkle</c:v>
                  </c:pt>
                  <c:pt idx="15">
                    <c:v>netflix</c:v>
                  </c:pt>
                  <c:pt idx="16">
                    <c:v>whatsapp</c:v>
                  </c:pt>
                  <c:pt idx="17">
                    <c:v>ui</c:v>
                  </c:pt>
                  <c:pt idx="18">
                    <c:v>yandex</c:v>
                  </c:pt>
                  <c:pt idx="19">
                    <c:v>sentry</c:v>
                  </c:pt>
                  <c:pt idx="20">
                    <c:v>scorecardresearch</c:v>
                  </c:pt>
                  <c:pt idx="21">
                    <c:v>microsoft</c:v>
                  </c:pt>
                  <c:pt idx="22">
                    <c:v>imdb</c:v>
                  </c:pt>
                  <c:pt idx="23">
                    <c:v>twitter</c:v>
                  </c:pt>
                  <c:pt idx="24">
                    <c:v>vimeo</c:v>
                  </c:pt>
                  <c:pt idx="25">
                    <c:v>gtld-servers</c:v>
                  </c:pt>
                  <c:pt idx="26">
                    <c:v>wikipedia</c:v>
                  </c:pt>
                  <c:pt idx="27">
                    <c:v>roblox</c:v>
                  </c:pt>
                  <c:pt idx="28">
                    <c:v>tumblr</c:v>
                  </c:pt>
                  <c:pt idx="29">
                    <c:v>salesforce</c:v>
                  </c:pt>
                  <c:pt idx="30">
                    <c:v>0xrpc</c:v>
                  </c:pt>
                  <c:pt idx="31">
                    <c:v>mikrotik</c:v>
                  </c:pt>
                  <c:pt idx="32">
                    <c:v>github</c:v>
                  </c:pt>
                  <c:pt idx="33">
                    <c:v>opera</c:v>
                  </c:pt>
                  <c:pt idx="34">
                    <c:v>dzen.ru</c:v>
                  </c:pt>
                  <c:pt idx="35">
                    <c:v>archive</c:v>
                  </c:pt>
                  <c:pt idx="36">
                    <c:v>cloudflare</c:v>
                  </c:pt>
                  <c:pt idx="37">
                    <c:v>indexexchange</c:v>
                  </c:pt>
                  <c:pt idx="38">
                    <c:v>tiktok</c:v>
                  </c:pt>
                  <c:pt idx="39">
                    <c:v>wordpress</c:v>
                  </c:pt>
                  <c:pt idx="40">
                    <c:v>snapchat</c:v>
                  </c:pt>
                  <c:pt idx="41">
                    <c:v>outlook</c:v>
                  </c:pt>
                  <c:pt idx="42">
                    <c:v>wordpress</c:v>
                  </c:pt>
                  <c:pt idx="43">
                    <c:v>europa</c:v>
                  </c:pt>
                  <c:pt idx="44">
                    <c:v>mozilla</c:v>
                  </c:pt>
                  <c:pt idx="45">
                    <c:v>apple</c:v>
                  </c:pt>
                  <c:pt idx="46">
                    <c:v>yahoo</c:v>
                  </c:pt>
                  <c:pt idx="47">
                    <c:v>paypal</c:v>
                  </c:pt>
                  <c:pt idx="48">
                    <c:v>nginx</c:v>
                  </c:pt>
                  <c:pt idx="49">
                    <c:v>discord</c:v>
                  </c:pt>
                  <c:pt idx="50">
                    <c:v>venmo</c:v>
                  </c:pt>
                  <c:pt idx="51">
                    <c:v>e2ro</c:v>
                  </c:pt>
                  <c:pt idx="52">
                    <c:v>blogspot</c:v>
                  </c:pt>
                  <c:pt idx="53">
                    <c:v>xiaomi</c:v>
                  </c:pt>
                  <c:pt idx="54">
                    <c:v>zoom</c:v>
                  </c:pt>
                  <c:pt idx="55">
                    <c:v>amazonaws</c:v>
                  </c:pt>
                  <c:pt idx="56">
                    <c:v>ntp</c:v>
                  </c:pt>
                  <c:pt idx="57">
                    <c:v>facebook</c:v>
                  </c:pt>
                  <c:pt idx="58">
                    <c:v>instagram</c:v>
                  </c:pt>
                  <c:pt idx="59">
                    <c:v>spotify</c:v>
                  </c:pt>
                  <c:pt idx="60">
                    <c:v>digicert</c:v>
                  </c:pt>
                  <c:pt idx="61">
                    <c:v>m365.cloud.microsoft</c:v>
                  </c:pt>
                  <c:pt idx="62">
                    <c:v>amazonvideo</c:v>
                  </c:pt>
                  <c:pt idx="63">
                    <c:v>criteo</c:v>
                  </c:pt>
                  <c:pt idx="64">
                    <c:v>kaspersky</c:v>
                  </c:pt>
                  <c:pt idx="65">
                    <c:v>intuit</c:v>
                  </c:pt>
                  <c:pt idx="66">
                    <c:v>stripe</c:v>
                  </c:pt>
                  <c:pt idx="67">
                    <c:v>grammarly</c:v>
                  </c:pt>
                  <c:pt idx="68">
                    <c:v>fastly</c:v>
                  </c:pt>
                  <c:pt idx="69">
                    <c:v>unity3d</c:v>
                  </c:pt>
                  <c:pt idx="70">
                    <c:v>dropbox</c:v>
                  </c:pt>
                  <c:pt idx="71">
                    <c:v>wix</c:v>
                  </c:pt>
                  <c:pt idx="72">
                    <c:v>samsung</c:v>
                  </c:pt>
                  <c:pt idx="73">
                    <c:v>azure</c:v>
                  </c:pt>
                  <c:pt idx="74">
                    <c:v>windows</c:v>
                  </c:pt>
                  <c:pt idx="75">
                    <c:v>appsflyersdk</c:v>
                  </c:pt>
                  <c:pt idx="76">
                    <c:v>chatgpt</c:v>
                  </c:pt>
                  <c:pt idx="77">
                    <c:v>epicgames</c:v>
                  </c:pt>
                  <c:pt idx="78">
                    <c:v>amazon</c:v>
                  </c:pt>
                  <c:pt idx="79">
                    <c:v>akamai</c:v>
                  </c:pt>
                  <c:pt idx="80">
                    <c:v>linkedin</c:v>
                  </c:pt>
                  <c:pt idx="81">
                    <c:v>slack</c:v>
                  </c:pt>
                  <c:pt idx="82">
                    <c:v>google</c:v>
                  </c:pt>
                  <c:pt idx="83">
                    <c:v>samsungcloud</c:v>
                  </c:pt>
                  <c:pt idx="84">
                    <c:v>adobe</c:v>
                  </c:pt>
                  <c:pt idx="85">
                    <c:v>hubspot</c:v>
                  </c:pt>
                  <c:pt idx="86">
                    <c:v>hp</c:v>
                  </c:pt>
                  <c:pt idx="87">
                    <c:v>nic.ru</c:v>
                  </c:pt>
                  <c:pt idx="88">
                    <c:v>inmobi</c:v>
                  </c:pt>
                  <c:pt idx="89">
                    <c:v>bit.ly</c:v>
                  </c:pt>
                  <c:pt idx="90">
                    <c:v>applovin</c:v>
                  </c:pt>
                  <c:pt idx="91">
                    <c:v>doubleverify</c:v>
                  </c:pt>
                  <c:pt idx="92">
                    <c:v>reddit</c:v>
                  </c:pt>
                  <c:pt idx="93">
                    <c:v>f5</c:v>
                  </c:pt>
                  <c:pt idx="94">
                    <c:v>linktr</c:v>
                  </c:pt>
                  <c:pt idx="95">
                    <c:v>cpanel</c:v>
                  </c:pt>
                  <c:pt idx="96">
                    <c:v>vk</c:v>
                  </c:pt>
                  <c:pt idx="97">
                    <c:v>moe.video</c:v>
                  </c:pt>
                  <c:pt idx="98">
                    <c:v>okcdn.ru</c:v>
                  </c:pt>
                  <c:pt idx="99">
                    <c:v>godaddy</c:v>
                  </c:pt>
                </c:lvl>
                <c:lvl>
                  <c:pt idx="0">
                    <c:v>Negligible</c:v>
                  </c:pt>
                  <c:pt idx="57">
                    <c:v>Low</c:v>
                  </c:pt>
                  <c:pt idx="76">
                    <c:v>Moderate</c:v>
                  </c:pt>
                  <c:pt idx="79">
                    <c:v>High</c:v>
                  </c:pt>
                  <c:pt idx="83">
                    <c:v>Very High</c:v>
                  </c:pt>
                  <c:pt idx="100">
                    <c:v>Average</c:v>
                  </c:pt>
                </c:lvl>
              </c:multiLvlStrCache>
            </c:multiLvlStrRef>
          </c:cat>
          <c:val>
            <c:numRef>
              <c:f>'Jshelter Sites'!$E$2:$E$102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4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7</c:v>
                </c:pt>
                <c:pt idx="40">
                  <c:v>5</c:v>
                </c:pt>
                <c:pt idx="41">
                  <c:v>5</c:v>
                </c:pt>
                <c:pt idx="42">
                  <c:v>7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7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8</c:v>
                </c:pt>
                <c:pt idx="54">
                  <c:v>6</c:v>
                </c:pt>
                <c:pt idx="55">
                  <c:v>6</c:v>
                </c:pt>
                <c:pt idx="56">
                  <c:v>8</c:v>
                </c:pt>
                <c:pt idx="57">
                  <c:v>7</c:v>
                </c:pt>
                <c:pt idx="58">
                  <c:v>7</c:v>
                </c:pt>
                <c:pt idx="59">
                  <c:v>5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6</c:v>
                </c:pt>
                <c:pt idx="77">
                  <c:v>6</c:v>
                </c:pt>
                <c:pt idx="78">
                  <c:v>8</c:v>
                </c:pt>
                <c:pt idx="79">
                  <c:v>8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9</c:v>
                </c:pt>
                <c:pt idx="84">
                  <c:v>9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10</c:v>
                </c:pt>
                <c:pt idx="96">
                  <c:v>12</c:v>
                </c:pt>
                <c:pt idx="97">
                  <c:v>11</c:v>
                </c:pt>
                <c:pt idx="98">
                  <c:v>12</c:v>
                </c:pt>
                <c:pt idx="99">
                  <c:v>12</c:v>
                </c:pt>
                <c:pt idx="100">
                  <c:v>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0-364F-A833-6673C3E1593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269"/>
        <c:axId val="664571391"/>
        <c:axId val="644508607"/>
      </c:barChart>
      <c:lineChart>
        <c:grouping val="standard"/>
        <c:varyColors val="0"/>
        <c:ser>
          <c:idx val="0"/>
          <c:order val="2"/>
          <c:tx>
            <c:strRef>
              <c:f>'Jshelter Sites'!$C$1</c:f>
              <c:strCache>
                <c:ptCount val="1"/>
                <c:pt idx="0">
                  <c:v>API (GPT/Claude)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'Jshelter Sites'!$A$2:$B$102</c:f>
              <c:multiLvlStrCache>
                <c:ptCount val="101"/>
                <c:lvl>
                  <c:pt idx="0">
                    <c:v>mail.ru</c:v>
                  </c:pt>
                  <c:pt idx="1">
                    <c:v>trbcdn</c:v>
                  </c:pt>
                  <c:pt idx="2">
                    <c:v>googleapis</c:v>
                  </c:pt>
                  <c:pt idx="3">
                    <c:v>baidu</c:v>
                  </c:pt>
                  <c:pt idx="4">
                    <c:v>apache</c:v>
                  </c:pt>
                  <c:pt idx="5">
                    <c:v>doi</c:v>
                  </c:pt>
                  <c:pt idx="6">
                    <c:v>netify</c:v>
                  </c:pt>
                  <c:pt idx="7">
                    <c:v>t</c:v>
                  </c:pt>
                  <c:pt idx="8">
                    <c:v>gandi</c:v>
                  </c:pt>
                  <c:pt idx="9">
                    <c:v>miui</c:v>
                  </c:pt>
                  <c:pt idx="10">
                    <c:v>demdex</c:v>
                  </c:pt>
                  <c:pt idx="11">
                    <c:v>roku</c:v>
                  </c:pt>
                  <c:pt idx="12">
                    <c:v>qq</c:v>
                  </c:pt>
                  <c:pt idx="13">
                    <c:v>pinterest</c:v>
                  </c:pt>
                  <c:pt idx="14">
                    <c:v>merkle</c:v>
                  </c:pt>
                  <c:pt idx="15">
                    <c:v>netflix</c:v>
                  </c:pt>
                  <c:pt idx="16">
                    <c:v>whatsapp</c:v>
                  </c:pt>
                  <c:pt idx="17">
                    <c:v>ui</c:v>
                  </c:pt>
                  <c:pt idx="18">
                    <c:v>yandex</c:v>
                  </c:pt>
                  <c:pt idx="19">
                    <c:v>sentry</c:v>
                  </c:pt>
                  <c:pt idx="20">
                    <c:v>scorecardresearch</c:v>
                  </c:pt>
                  <c:pt idx="21">
                    <c:v>microsoft</c:v>
                  </c:pt>
                  <c:pt idx="22">
                    <c:v>imdb</c:v>
                  </c:pt>
                  <c:pt idx="23">
                    <c:v>twitter</c:v>
                  </c:pt>
                  <c:pt idx="24">
                    <c:v>vimeo</c:v>
                  </c:pt>
                  <c:pt idx="25">
                    <c:v>gtld-servers</c:v>
                  </c:pt>
                  <c:pt idx="26">
                    <c:v>wikipedia</c:v>
                  </c:pt>
                  <c:pt idx="27">
                    <c:v>roblox</c:v>
                  </c:pt>
                  <c:pt idx="28">
                    <c:v>tumblr</c:v>
                  </c:pt>
                  <c:pt idx="29">
                    <c:v>salesforce</c:v>
                  </c:pt>
                  <c:pt idx="30">
                    <c:v>0xrpc</c:v>
                  </c:pt>
                  <c:pt idx="31">
                    <c:v>mikrotik</c:v>
                  </c:pt>
                  <c:pt idx="32">
                    <c:v>github</c:v>
                  </c:pt>
                  <c:pt idx="33">
                    <c:v>opera</c:v>
                  </c:pt>
                  <c:pt idx="34">
                    <c:v>dzen.ru</c:v>
                  </c:pt>
                  <c:pt idx="35">
                    <c:v>archive</c:v>
                  </c:pt>
                  <c:pt idx="36">
                    <c:v>cloudflare</c:v>
                  </c:pt>
                  <c:pt idx="37">
                    <c:v>indexexchange</c:v>
                  </c:pt>
                  <c:pt idx="38">
                    <c:v>tiktok</c:v>
                  </c:pt>
                  <c:pt idx="39">
                    <c:v>wordpress</c:v>
                  </c:pt>
                  <c:pt idx="40">
                    <c:v>snapchat</c:v>
                  </c:pt>
                  <c:pt idx="41">
                    <c:v>outlook</c:v>
                  </c:pt>
                  <c:pt idx="42">
                    <c:v>wordpress</c:v>
                  </c:pt>
                  <c:pt idx="43">
                    <c:v>europa</c:v>
                  </c:pt>
                  <c:pt idx="44">
                    <c:v>mozilla</c:v>
                  </c:pt>
                  <c:pt idx="45">
                    <c:v>apple</c:v>
                  </c:pt>
                  <c:pt idx="46">
                    <c:v>yahoo</c:v>
                  </c:pt>
                  <c:pt idx="47">
                    <c:v>paypal</c:v>
                  </c:pt>
                  <c:pt idx="48">
                    <c:v>nginx</c:v>
                  </c:pt>
                  <c:pt idx="49">
                    <c:v>discord</c:v>
                  </c:pt>
                  <c:pt idx="50">
                    <c:v>venmo</c:v>
                  </c:pt>
                  <c:pt idx="51">
                    <c:v>e2ro</c:v>
                  </c:pt>
                  <c:pt idx="52">
                    <c:v>blogspot</c:v>
                  </c:pt>
                  <c:pt idx="53">
                    <c:v>xiaomi</c:v>
                  </c:pt>
                  <c:pt idx="54">
                    <c:v>zoom</c:v>
                  </c:pt>
                  <c:pt idx="55">
                    <c:v>amazonaws</c:v>
                  </c:pt>
                  <c:pt idx="56">
                    <c:v>ntp</c:v>
                  </c:pt>
                  <c:pt idx="57">
                    <c:v>facebook</c:v>
                  </c:pt>
                  <c:pt idx="58">
                    <c:v>instagram</c:v>
                  </c:pt>
                  <c:pt idx="59">
                    <c:v>spotify</c:v>
                  </c:pt>
                  <c:pt idx="60">
                    <c:v>digicert</c:v>
                  </c:pt>
                  <c:pt idx="61">
                    <c:v>m365.cloud.microsoft</c:v>
                  </c:pt>
                  <c:pt idx="62">
                    <c:v>amazonvideo</c:v>
                  </c:pt>
                  <c:pt idx="63">
                    <c:v>criteo</c:v>
                  </c:pt>
                  <c:pt idx="64">
                    <c:v>kaspersky</c:v>
                  </c:pt>
                  <c:pt idx="65">
                    <c:v>intuit</c:v>
                  </c:pt>
                  <c:pt idx="66">
                    <c:v>stripe</c:v>
                  </c:pt>
                  <c:pt idx="67">
                    <c:v>grammarly</c:v>
                  </c:pt>
                  <c:pt idx="68">
                    <c:v>fastly</c:v>
                  </c:pt>
                  <c:pt idx="69">
                    <c:v>unity3d</c:v>
                  </c:pt>
                  <c:pt idx="70">
                    <c:v>dropbox</c:v>
                  </c:pt>
                  <c:pt idx="71">
                    <c:v>wix</c:v>
                  </c:pt>
                  <c:pt idx="72">
                    <c:v>samsung</c:v>
                  </c:pt>
                  <c:pt idx="73">
                    <c:v>azure</c:v>
                  </c:pt>
                  <c:pt idx="74">
                    <c:v>windows</c:v>
                  </c:pt>
                  <c:pt idx="75">
                    <c:v>appsflyersdk</c:v>
                  </c:pt>
                  <c:pt idx="76">
                    <c:v>chatgpt</c:v>
                  </c:pt>
                  <c:pt idx="77">
                    <c:v>epicgames</c:v>
                  </c:pt>
                  <c:pt idx="78">
                    <c:v>amazon</c:v>
                  </c:pt>
                  <c:pt idx="79">
                    <c:v>akamai</c:v>
                  </c:pt>
                  <c:pt idx="80">
                    <c:v>linkedin</c:v>
                  </c:pt>
                  <c:pt idx="81">
                    <c:v>slack</c:v>
                  </c:pt>
                  <c:pt idx="82">
                    <c:v>google</c:v>
                  </c:pt>
                  <c:pt idx="83">
                    <c:v>samsungcloud</c:v>
                  </c:pt>
                  <c:pt idx="84">
                    <c:v>adobe</c:v>
                  </c:pt>
                  <c:pt idx="85">
                    <c:v>hubspot</c:v>
                  </c:pt>
                  <c:pt idx="86">
                    <c:v>hp</c:v>
                  </c:pt>
                  <c:pt idx="87">
                    <c:v>nic.ru</c:v>
                  </c:pt>
                  <c:pt idx="88">
                    <c:v>inmobi</c:v>
                  </c:pt>
                  <c:pt idx="89">
                    <c:v>bit.ly</c:v>
                  </c:pt>
                  <c:pt idx="90">
                    <c:v>applovin</c:v>
                  </c:pt>
                  <c:pt idx="91">
                    <c:v>doubleverify</c:v>
                  </c:pt>
                  <c:pt idx="92">
                    <c:v>reddit</c:v>
                  </c:pt>
                  <c:pt idx="93">
                    <c:v>f5</c:v>
                  </c:pt>
                  <c:pt idx="94">
                    <c:v>linktr</c:v>
                  </c:pt>
                  <c:pt idx="95">
                    <c:v>cpanel</c:v>
                  </c:pt>
                  <c:pt idx="96">
                    <c:v>vk</c:v>
                  </c:pt>
                  <c:pt idx="97">
                    <c:v>moe.video</c:v>
                  </c:pt>
                  <c:pt idx="98">
                    <c:v>okcdn.ru</c:v>
                  </c:pt>
                  <c:pt idx="99">
                    <c:v>godaddy</c:v>
                  </c:pt>
                </c:lvl>
                <c:lvl>
                  <c:pt idx="0">
                    <c:v>Negligible</c:v>
                  </c:pt>
                  <c:pt idx="57">
                    <c:v>Low</c:v>
                  </c:pt>
                  <c:pt idx="76">
                    <c:v>Moderate</c:v>
                  </c:pt>
                  <c:pt idx="79">
                    <c:v>High</c:v>
                  </c:pt>
                  <c:pt idx="83">
                    <c:v>Very High</c:v>
                  </c:pt>
                  <c:pt idx="100">
                    <c:v>Average</c:v>
                  </c:pt>
                </c:lvl>
              </c:multiLvlStrCache>
            </c:multiLvlStrRef>
          </c:cat>
          <c:val>
            <c:numRef>
              <c:f>'Jshelter Sites'!$C$2:$C$102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14</c:v>
                </c:pt>
                <c:pt idx="24">
                  <c:v>7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15</c:v>
                </c:pt>
                <c:pt idx="33">
                  <c:v>10</c:v>
                </c:pt>
                <c:pt idx="34">
                  <c:v>11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17</c:v>
                </c:pt>
                <c:pt idx="42">
                  <c:v>14</c:v>
                </c:pt>
                <c:pt idx="43">
                  <c:v>14</c:v>
                </c:pt>
                <c:pt idx="44">
                  <c:v>16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15</c:v>
                </c:pt>
                <c:pt idx="49">
                  <c:v>17</c:v>
                </c:pt>
                <c:pt idx="50">
                  <c:v>19</c:v>
                </c:pt>
                <c:pt idx="51">
                  <c:v>20</c:v>
                </c:pt>
                <c:pt idx="52">
                  <c:v>20</c:v>
                </c:pt>
                <c:pt idx="53">
                  <c:v>21</c:v>
                </c:pt>
                <c:pt idx="54">
                  <c:v>22</c:v>
                </c:pt>
                <c:pt idx="55">
                  <c:v>24</c:v>
                </c:pt>
                <c:pt idx="56">
                  <c:v>22</c:v>
                </c:pt>
                <c:pt idx="57">
                  <c:v>13</c:v>
                </c:pt>
                <c:pt idx="58">
                  <c:v>14</c:v>
                </c:pt>
                <c:pt idx="59">
                  <c:v>20</c:v>
                </c:pt>
                <c:pt idx="60">
                  <c:v>19</c:v>
                </c:pt>
                <c:pt idx="61">
                  <c:v>24</c:v>
                </c:pt>
                <c:pt idx="62">
                  <c:v>24</c:v>
                </c:pt>
                <c:pt idx="63">
                  <c:v>27</c:v>
                </c:pt>
                <c:pt idx="64">
                  <c:v>24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27</c:v>
                </c:pt>
                <c:pt idx="69">
                  <c:v>28</c:v>
                </c:pt>
                <c:pt idx="70">
                  <c:v>28</c:v>
                </c:pt>
                <c:pt idx="71">
                  <c:v>30</c:v>
                </c:pt>
                <c:pt idx="72">
                  <c:v>31</c:v>
                </c:pt>
                <c:pt idx="73">
                  <c:v>31</c:v>
                </c:pt>
                <c:pt idx="74">
                  <c:v>32</c:v>
                </c:pt>
                <c:pt idx="75">
                  <c:v>36</c:v>
                </c:pt>
                <c:pt idx="76">
                  <c:v>31</c:v>
                </c:pt>
                <c:pt idx="77">
                  <c:v>32</c:v>
                </c:pt>
                <c:pt idx="78">
                  <c:v>38</c:v>
                </c:pt>
                <c:pt idx="79">
                  <c:v>35</c:v>
                </c:pt>
                <c:pt idx="80">
                  <c:v>40</c:v>
                </c:pt>
                <c:pt idx="81">
                  <c:v>40</c:v>
                </c:pt>
                <c:pt idx="82">
                  <c:v>42</c:v>
                </c:pt>
                <c:pt idx="83">
                  <c:v>45</c:v>
                </c:pt>
                <c:pt idx="84">
                  <c:v>40</c:v>
                </c:pt>
                <c:pt idx="85">
                  <c:v>51</c:v>
                </c:pt>
                <c:pt idx="86">
                  <c:v>49</c:v>
                </c:pt>
                <c:pt idx="87">
                  <c:v>50</c:v>
                </c:pt>
                <c:pt idx="88">
                  <c:v>52</c:v>
                </c:pt>
                <c:pt idx="89">
                  <c:v>53</c:v>
                </c:pt>
                <c:pt idx="90">
                  <c:v>53</c:v>
                </c:pt>
                <c:pt idx="91">
                  <c:v>54</c:v>
                </c:pt>
                <c:pt idx="92">
                  <c:v>53</c:v>
                </c:pt>
                <c:pt idx="93">
                  <c:v>56</c:v>
                </c:pt>
                <c:pt idx="94">
                  <c:v>59</c:v>
                </c:pt>
                <c:pt idx="95">
                  <c:v>61</c:v>
                </c:pt>
                <c:pt idx="96">
                  <c:v>79</c:v>
                </c:pt>
                <c:pt idx="97">
                  <c:v>48</c:v>
                </c:pt>
                <c:pt idx="98">
                  <c:v>50</c:v>
                </c:pt>
                <c:pt idx="99">
                  <c:v>67</c:v>
                </c:pt>
                <c:pt idx="100">
                  <c:v>22.94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0-364F-A833-6673C3E1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71391"/>
        <c:axId val="644508607"/>
      </c:lineChart>
      <c:catAx>
        <c:axId val="66457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08607"/>
        <c:crosses val="autoZero"/>
        <c:auto val="1"/>
        <c:lblAlgn val="ctr"/>
        <c:lblOffset val="100"/>
        <c:noMultiLvlLbl val="0"/>
      </c:catAx>
      <c:valAx>
        <c:axId val="6445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7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 API Matrix'!$B$3:$B$103</c:f>
              <c:strCache>
                <c:ptCount val="101"/>
                <c:pt idx="0">
                  <c:v>google.com</c:v>
                </c:pt>
                <c:pt idx="1">
                  <c:v>mail.ru</c:v>
                </c:pt>
                <c:pt idx="2">
                  <c:v>microsoft.com</c:v>
                </c:pt>
                <c:pt idx="3">
                  <c:v>icann.org</c:v>
                </c:pt>
                <c:pt idx="4">
                  <c:v>facebook.com</c:v>
                </c:pt>
                <c:pt idx="5">
                  <c:v>cloudflare.com</c:v>
                </c:pt>
                <c:pt idx="6">
                  <c:v>apple.com</c:v>
                </c:pt>
                <c:pt idx="7">
                  <c:v>amazon.com</c:v>
                </c:pt>
                <c:pt idx="8">
                  <c:v>yandex.com</c:v>
                </c:pt>
                <c:pt idx="9">
                  <c:v>instagram.com</c:v>
                </c:pt>
                <c:pt idx="10">
                  <c:v>akamai.net</c:v>
                </c:pt>
                <c:pt idx="11">
                  <c:v>twitter.com</c:v>
                </c:pt>
                <c:pt idx="12">
                  <c:v>linkedin.com</c:v>
                </c:pt>
                <c:pt idx="13">
                  <c:v>amazon.com</c:v>
                </c:pt>
                <c:pt idx="14">
                  <c:v>azure.com</c:v>
                </c:pt>
                <c:pt idx="15">
                  <c:v>wikipedia.org</c:v>
                </c:pt>
                <c:pt idx="16">
                  <c:v>github.com</c:v>
                </c:pt>
                <c:pt idx="17">
                  <c:v>digicert.com</c:v>
                </c:pt>
                <c:pt idx="18">
                  <c:v>netflix.com</c:v>
                </c:pt>
                <c:pt idx="19">
                  <c:v>whatsapp.net</c:v>
                </c:pt>
                <c:pt idx="20">
                  <c:v>fastly.net</c:v>
                </c:pt>
                <c:pt idx="21">
                  <c:v>godaddy.com</c:v>
                </c:pt>
                <c:pt idx="22">
                  <c:v>wordpress.org</c:v>
                </c:pt>
                <c:pt idx="23">
                  <c:v>eero.com</c:v>
                </c:pt>
                <c:pt idx="24">
                  <c:v>appsflyer.com</c:v>
                </c:pt>
                <c:pt idx="25">
                  <c:v>pinterest.com</c:v>
                </c:pt>
                <c:pt idx="26">
                  <c:v>yahoo.com</c:v>
                </c:pt>
                <c:pt idx="27">
                  <c:v>gandi.net</c:v>
                </c:pt>
                <c:pt idx="28">
                  <c:v>spotify.com</c:v>
                </c:pt>
                <c:pt idx="29">
                  <c:v>tiktok.com</c:v>
                </c:pt>
                <c:pt idx="30">
                  <c:v>ntp.org</c:v>
                </c:pt>
                <c:pt idx="31">
                  <c:v>vimeo.com</c:v>
                </c:pt>
                <c:pt idx="32">
                  <c:v>adobe.com</c:v>
                </c:pt>
                <c:pt idx="33">
                  <c:v>venmo.com</c:v>
                </c:pt>
                <c:pt idx="34">
                  <c:v>roblox.com</c:v>
                </c:pt>
                <c:pt idx="35">
                  <c:v>chatgpt.com</c:v>
                </c:pt>
                <c:pt idx="36">
                  <c:v>zoom.us</c:v>
                </c:pt>
                <c:pt idx="37">
                  <c:v>nic.ru</c:v>
                </c:pt>
                <c:pt idx="38">
                  <c:v>qq.com</c:v>
                </c:pt>
                <c:pt idx="39">
                  <c:v>nginx.org</c:v>
                </c:pt>
                <c:pt idx="40">
                  <c:v>opera.com</c:v>
                </c:pt>
                <c:pt idx="41">
                  <c:v>baidu.com</c:v>
                </c:pt>
                <c:pt idx="42">
                  <c:v>samsung.com</c:v>
                </c:pt>
                <c:pt idx="43">
                  <c:v>bit.ly</c:v>
                </c:pt>
                <c:pt idx="44">
                  <c:v>wordpress.com</c:v>
                </c:pt>
                <c:pt idx="45">
                  <c:v>intuit.com</c:v>
                </c:pt>
                <c:pt idx="46">
                  <c:v>ok.ru</c:v>
                </c:pt>
                <c:pt idx="47">
                  <c:v>ui.com</c:v>
                </c:pt>
                <c:pt idx="48">
                  <c:v>sentry.io</c:v>
                </c:pt>
                <c:pt idx="49">
                  <c:v>windows.com</c:v>
                </c:pt>
                <c:pt idx="50">
                  <c:v>mozilla.org</c:v>
                </c:pt>
                <c:pt idx="51">
                  <c:v>reddit.com</c:v>
                </c:pt>
                <c:pt idx="52">
                  <c:v>unity3d.com</c:v>
                </c:pt>
                <c:pt idx="53">
                  <c:v>paypal.com</c:v>
                </c:pt>
                <c:pt idx="54">
                  <c:v>vk.com</c:v>
                </c:pt>
                <c:pt idx="55">
                  <c:v>google.com</c:v>
                </c:pt>
                <c:pt idx="56">
                  <c:v>t.me</c:v>
                </c:pt>
                <c:pt idx="57">
                  <c:v>europa.eu</c:v>
                </c:pt>
                <c:pt idx="58">
                  <c:v>snapchat.com</c:v>
                </c:pt>
                <c:pt idx="59">
                  <c:v>discord.gg</c:v>
                </c:pt>
                <c:pt idx="60">
                  <c:v>cloud.microsoft</c:v>
                </c:pt>
                <c:pt idx="61">
                  <c:v>netify.ai</c:v>
                </c:pt>
                <c:pt idx="62">
                  <c:v>apache.org</c:v>
                </c:pt>
                <c:pt idx="63">
                  <c:v>epicgames.com</c:v>
                </c:pt>
                <c:pt idx="64">
                  <c:v>trbcdn.com</c:v>
                </c:pt>
                <c:pt idx="65">
                  <c:v>amazonvideo.com</c:v>
                </c:pt>
                <c:pt idx="66">
                  <c:v>outlook.com</c:v>
                </c:pt>
                <c:pt idx="67">
                  <c:v>dropbox.com</c:v>
                </c:pt>
                <c:pt idx="68">
                  <c:v>0xrpc.io</c:v>
                </c:pt>
                <c:pt idx="69">
                  <c:v>criteo.com</c:v>
                </c:pt>
                <c:pt idx="70">
                  <c:v>xiaomi.com</c:v>
                </c:pt>
                <c:pt idx="71">
                  <c:v>archive.org</c:v>
                </c:pt>
                <c:pt idx="72">
                  <c:v>applovin.com</c:v>
                </c:pt>
                <c:pt idx="73">
                  <c:v>tumblr.com</c:v>
                </c:pt>
                <c:pt idx="74">
                  <c:v>f5.com</c:v>
                </c:pt>
                <c:pt idx="75">
                  <c:v>mi.com</c:v>
                </c:pt>
                <c:pt idx="76">
                  <c:v>cpanel.net</c:v>
                </c:pt>
                <c:pt idx="77">
                  <c:v>demdex.net</c:v>
                </c:pt>
                <c:pt idx="78">
                  <c:v>doi.org</c:v>
                </c:pt>
                <c:pt idx="79">
                  <c:v>merkle.io</c:v>
                </c:pt>
                <c:pt idx="80">
                  <c:v>roku.com</c:v>
                </c:pt>
                <c:pt idx="81">
                  <c:v>doubleverify.com</c:v>
                </c:pt>
                <c:pt idx="82">
                  <c:v>scorecardresearch.com</c:v>
                </c:pt>
                <c:pt idx="83">
                  <c:v>imdb.com</c:v>
                </c:pt>
                <c:pt idx="84">
                  <c:v>indexexchange.com</c:v>
                </c:pt>
                <c:pt idx="85">
                  <c:v>linktr.ee</c:v>
                </c:pt>
                <c:pt idx="86">
                  <c:v>wix.com</c:v>
                </c:pt>
                <c:pt idx="87">
                  <c:v>hubspot.com</c:v>
                </c:pt>
                <c:pt idx="88">
                  <c:v>yandex.com</c:v>
                </c:pt>
                <c:pt idx="89">
                  <c:v>salesforce.com</c:v>
                </c:pt>
                <c:pt idx="90">
                  <c:v>hp.com</c:v>
                </c:pt>
                <c:pt idx="91">
                  <c:v>stripe.com</c:v>
                </c:pt>
                <c:pt idx="92">
                  <c:v>inmobi.com</c:v>
                </c:pt>
                <c:pt idx="93">
                  <c:v>mikrotik.com</c:v>
                </c:pt>
                <c:pt idx="94">
                  <c:v>googleapis.com</c:v>
                </c:pt>
                <c:pt idx="95">
                  <c:v>samsungcloud.com</c:v>
                </c:pt>
                <c:pt idx="96">
                  <c:v>grammarly.com</c:v>
                </c:pt>
                <c:pt idx="97">
                  <c:v>moe.video</c:v>
                </c:pt>
                <c:pt idx="98">
                  <c:v>kaspersky.com</c:v>
                </c:pt>
                <c:pt idx="99">
                  <c:v>slack.com</c:v>
                </c:pt>
                <c:pt idx="100">
                  <c:v>Total</c:v>
                </c:pt>
              </c:strCache>
            </c:strRef>
          </c:cat>
          <c:val>
            <c:numRef>
              <c:f>'7 API Matrix'!$AJ$3:$AJ$103</c:f>
              <c:numCache>
                <c:formatCode>General</c:formatCode>
                <c:ptCount val="101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0</c:v>
                </c:pt>
                <c:pt idx="5">
                  <c:v>17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22</c:v>
                </c:pt>
                <c:pt idx="13">
                  <c:v>0</c:v>
                </c:pt>
                <c:pt idx="14">
                  <c:v>9</c:v>
                </c:pt>
                <c:pt idx="15">
                  <c:v>0</c:v>
                </c:pt>
                <c:pt idx="16">
                  <c:v>10</c:v>
                </c:pt>
                <c:pt idx="17">
                  <c:v>21</c:v>
                </c:pt>
                <c:pt idx="18">
                  <c:v>2</c:v>
                </c:pt>
                <c:pt idx="19">
                  <c:v>0</c:v>
                </c:pt>
                <c:pt idx="20">
                  <c:v>14</c:v>
                </c:pt>
                <c:pt idx="21">
                  <c:v>0</c:v>
                </c:pt>
                <c:pt idx="22">
                  <c:v>2</c:v>
                </c:pt>
                <c:pt idx="23">
                  <c:v>10</c:v>
                </c:pt>
                <c:pt idx="24">
                  <c:v>12</c:v>
                </c:pt>
                <c:pt idx="25">
                  <c:v>2</c:v>
                </c:pt>
                <c:pt idx="26">
                  <c:v>16</c:v>
                </c:pt>
                <c:pt idx="27">
                  <c:v>5</c:v>
                </c:pt>
                <c:pt idx="28">
                  <c:v>0</c:v>
                </c:pt>
                <c:pt idx="29">
                  <c:v>10</c:v>
                </c:pt>
                <c:pt idx="30">
                  <c:v>7</c:v>
                </c:pt>
                <c:pt idx="31">
                  <c:v>10</c:v>
                </c:pt>
                <c:pt idx="32">
                  <c:v>24</c:v>
                </c:pt>
                <c:pt idx="33">
                  <c:v>5</c:v>
                </c:pt>
                <c:pt idx="34">
                  <c:v>22</c:v>
                </c:pt>
                <c:pt idx="35">
                  <c:v>0</c:v>
                </c:pt>
                <c:pt idx="36">
                  <c:v>17</c:v>
                </c:pt>
                <c:pt idx="37">
                  <c:v>2</c:v>
                </c:pt>
                <c:pt idx="38">
                  <c:v>16</c:v>
                </c:pt>
                <c:pt idx="39">
                  <c:v>15</c:v>
                </c:pt>
                <c:pt idx="40">
                  <c:v>9</c:v>
                </c:pt>
                <c:pt idx="41">
                  <c:v>5</c:v>
                </c:pt>
                <c:pt idx="42">
                  <c:v>16</c:v>
                </c:pt>
                <c:pt idx="43">
                  <c:v>9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9</c:v>
                </c:pt>
                <c:pt idx="48">
                  <c:v>3</c:v>
                </c:pt>
                <c:pt idx="49">
                  <c:v>14</c:v>
                </c:pt>
                <c:pt idx="50">
                  <c:v>4</c:v>
                </c:pt>
                <c:pt idx="51">
                  <c:v>1</c:v>
                </c:pt>
                <c:pt idx="52">
                  <c:v>9</c:v>
                </c:pt>
                <c:pt idx="53">
                  <c:v>6</c:v>
                </c:pt>
                <c:pt idx="54">
                  <c:v>16</c:v>
                </c:pt>
                <c:pt idx="55">
                  <c:v>0</c:v>
                </c:pt>
                <c:pt idx="56">
                  <c:v>0</c:v>
                </c:pt>
                <c:pt idx="57">
                  <c:v>5</c:v>
                </c:pt>
                <c:pt idx="58">
                  <c:v>2</c:v>
                </c:pt>
                <c:pt idx="59">
                  <c:v>6</c:v>
                </c:pt>
                <c:pt idx="60">
                  <c:v>6</c:v>
                </c:pt>
                <c:pt idx="61">
                  <c:v>0</c:v>
                </c:pt>
                <c:pt idx="62">
                  <c:v>2</c:v>
                </c:pt>
                <c:pt idx="63">
                  <c:v>3</c:v>
                </c:pt>
                <c:pt idx="64">
                  <c:v>10</c:v>
                </c:pt>
                <c:pt idx="65">
                  <c:v>8</c:v>
                </c:pt>
                <c:pt idx="66">
                  <c:v>10</c:v>
                </c:pt>
                <c:pt idx="67">
                  <c:v>16</c:v>
                </c:pt>
                <c:pt idx="68">
                  <c:v>0</c:v>
                </c:pt>
                <c:pt idx="69">
                  <c:v>15</c:v>
                </c:pt>
                <c:pt idx="70">
                  <c:v>9</c:v>
                </c:pt>
                <c:pt idx="71">
                  <c:v>2</c:v>
                </c:pt>
                <c:pt idx="72">
                  <c:v>5</c:v>
                </c:pt>
                <c:pt idx="73">
                  <c:v>9</c:v>
                </c:pt>
                <c:pt idx="74">
                  <c:v>0</c:v>
                </c:pt>
                <c:pt idx="75">
                  <c:v>0</c:v>
                </c:pt>
                <c:pt idx="76">
                  <c:v>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</c:v>
                </c:pt>
                <c:pt idx="81">
                  <c:v>7</c:v>
                </c:pt>
                <c:pt idx="82">
                  <c:v>6</c:v>
                </c:pt>
                <c:pt idx="83">
                  <c:v>2</c:v>
                </c:pt>
                <c:pt idx="84">
                  <c:v>5</c:v>
                </c:pt>
                <c:pt idx="85">
                  <c:v>15</c:v>
                </c:pt>
                <c:pt idx="86">
                  <c:v>16</c:v>
                </c:pt>
                <c:pt idx="87">
                  <c:v>6</c:v>
                </c:pt>
                <c:pt idx="88">
                  <c:v>0</c:v>
                </c:pt>
                <c:pt idx="89">
                  <c:v>17</c:v>
                </c:pt>
                <c:pt idx="90">
                  <c:v>25</c:v>
                </c:pt>
                <c:pt idx="91">
                  <c:v>16</c:v>
                </c:pt>
                <c:pt idx="92">
                  <c:v>11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11</c:v>
                </c:pt>
                <c:pt idx="97">
                  <c:v>11</c:v>
                </c:pt>
                <c:pt idx="98">
                  <c:v>12</c:v>
                </c:pt>
                <c:pt idx="99">
                  <c:v>11</c:v>
                </c:pt>
                <c:pt idx="100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224B-96B5-1E0BCD16BE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056113983"/>
        <c:axId val="999274495"/>
      </c:barChart>
      <c:catAx>
        <c:axId val="105611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74495"/>
        <c:crosses val="autoZero"/>
        <c:auto val="1"/>
        <c:lblAlgn val="ctr"/>
        <c:lblOffset val="100"/>
        <c:noMultiLvlLbl val="0"/>
      </c:catAx>
      <c:valAx>
        <c:axId val="99927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1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 API Matrix'!$C$2:$AI$2</c:f>
              <c:strCache>
                <c:ptCount val="33"/>
                <c:pt idx="0">
                  <c:v>Navigator.appCodeName</c:v>
                </c:pt>
                <c:pt idx="1">
                  <c:v>Navigator.appName</c:v>
                </c:pt>
                <c:pt idx="2">
                  <c:v>Navigator.appVersion</c:v>
                </c:pt>
                <c:pt idx="3">
                  <c:v>Navigator.buildID</c:v>
                </c:pt>
                <c:pt idx="4">
                  <c:v>Navigator.oscpu</c:v>
                </c:pt>
                <c:pt idx="5">
                  <c:v>Navigator.platform</c:v>
                </c:pt>
                <c:pt idx="6">
                  <c:v>Navigator.product</c:v>
                </c:pt>
                <c:pt idx="7">
                  <c:v>Navigator.productSub</c:v>
                </c:pt>
                <c:pt idx="8">
                  <c:v>Navigator.userAgent</c:v>
                </c:pt>
                <c:pt idx="9">
                  <c:v>Navigator.language</c:v>
                </c:pt>
                <c:pt idx="10">
                  <c:v>HTMLElement.offsetHeight</c:v>
                </c:pt>
                <c:pt idx="11">
                  <c:v>HTMLElement.offsetWidth</c:v>
                </c:pt>
                <c:pt idx="12">
                  <c:v>Screen.availHeight</c:v>
                </c:pt>
                <c:pt idx="13">
                  <c:v>Screen.availWidth</c:v>
                </c:pt>
                <c:pt idx="14">
                  <c:v>Screen.colorDepth</c:v>
                </c:pt>
                <c:pt idx="15">
                  <c:v>Screen.height</c:v>
                </c:pt>
                <c:pt idx="16">
                  <c:v>Screen.pixelDepth</c:v>
                </c:pt>
                <c:pt idx="17">
                  <c:v>Screen.width</c:v>
                </c:pt>
                <c:pt idx="18">
                  <c:v>Navigator.hardwareConcurrency</c:v>
                </c:pt>
                <c:pt idx="19">
                  <c:v>Navigator.maxTouchPoints</c:v>
                </c:pt>
                <c:pt idx="20">
                  <c:v>HTMLCanvasElement.toDataURL</c:v>
                </c:pt>
                <c:pt idx="21">
                  <c:v>WebGLRenderingContext.getParameter</c:v>
                </c:pt>
                <c:pt idx="22">
                  <c:v>AudioDestinationNode.maxChannelCount</c:v>
                </c:pt>
                <c:pt idx="23">
                  <c:v>document.cookie</c:v>
                </c:pt>
                <c:pt idx="24">
                  <c:v>WebSocket.send</c:v>
                </c:pt>
                <c:pt idx="25">
                  <c:v>XMLHttpRequest.send</c:v>
                </c:pt>
                <c:pt idx="26">
                  <c:v>fetch.body</c:v>
                </c:pt>
                <c:pt idx="27">
                  <c:v>fetch.url</c:v>
                </c:pt>
                <c:pt idx="28">
                  <c:v>iframe.src</c:v>
                </c:pt>
                <c:pt idx="29">
                  <c:v>img.src</c:v>
                </c:pt>
                <c:pt idx="30">
                  <c:v>script.src</c:v>
                </c:pt>
                <c:pt idx="31">
                  <c:v>History.length</c:v>
                </c:pt>
                <c:pt idx="32">
                  <c:v>Navigator.doNotTrack</c:v>
                </c:pt>
              </c:strCache>
            </c:strRef>
          </c:cat>
          <c:val>
            <c:numRef>
              <c:f>'7 API Matrix'!$C$103:$AI$103</c:f>
              <c:numCache>
                <c:formatCode>General</c:formatCode>
                <c:ptCount val="33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35</c:v>
                </c:pt>
                <c:pt idx="6">
                  <c:v>6</c:v>
                </c:pt>
                <c:pt idx="7">
                  <c:v>7</c:v>
                </c:pt>
                <c:pt idx="8">
                  <c:v>65</c:v>
                </c:pt>
                <c:pt idx="9">
                  <c:v>62</c:v>
                </c:pt>
                <c:pt idx="10">
                  <c:v>4</c:v>
                </c:pt>
                <c:pt idx="11">
                  <c:v>2</c:v>
                </c:pt>
                <c:pt idx="12">
                  <c:v>28</c:v>
                </c:pt>
                <c:pt idx="13">
                  <c:v>28</c:v>
                </c:pt>
                <c:pt idx="14">
                  <c:v>47</c:v>
                </c:pt>
                <c:pt idx="15">
                  <c:v>68</c:v>
                </c:pt>
                <c:pt idx="16">
                  <c:v>11</c:v>
                </c:pt>
                <c:pt idx="17">
                  <c:v>68</c:v>
                </c:pt>
                <c:pt idx="18">
                  <c:v>18</c:v>
                </c:pt>
                <c:pt idx="19">
                  <c:v>13</c:v>
                </c:pt>
                <c:pt idx="20">
                  <c:v>7</c:v>
                </c:pt>
                <c:pt idx="21">
                  <c:v>12</c:v>
                </c:pt>
                <c:pt idx="22">
                  <c:v>1</c:v>
                </c:pt>
                <c:pt idx="23">
                  <c:v>28</c:v>
                </c:pt>
                <c:pt idx="24">
                  <c:v>6</c:v>
                </c:pt>
                <c:pt idx="25">
                  <c:v>41</c:v>
                </c:pt>
                <c:pt idx="26">
                  <c:v>41</c:v>
                </c:pt>
                <c:pt idx="27">
                  <c:v>49</c:v>
                </c:pt>
                <c:pt idx="28">
                  <c:v>1</c:v>
                </c:pt>
                <c:pt idx="29">
                  <c:v>47</c:v>
                </c:pt>
                <c:pt idx="30">
                  <c:v>23</c:v>
                </c:pt>
                <c:pt idx="31">
                  <c:v>14</c:v>
                </c:pt>
                <c:pt idx="3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D-F742-A26D-F2E20D3366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7640383"/>
        <c:axId val="1057642175"/>
      </c:barChart>
      <c:catAx>
        <c:axId val="10576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642175"/>
        <c:crosses val="autoZero"/>
        <c:auto val="1"/>
        <c:lblAlgn val="ctr"/>
        <c:lblOffset val="100"/>
        <c:noMultiLvlLbl val="0"/>
      </c:catAx>
      <c:valAx>
        <c:axId val="1057642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764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1187450</xdr:colOff>
      <xdr:row>20</xdr:row>
      <xdr:rowOff>196850</xdr:rowOff>
    </xdr:from>
    <xdr:to>
      <xdr:col>8</xdr:col>
      <xdr:colOff>939800</xdr:colOff>
      <xdr:row>48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332F8-F1C8-5C24-7A34-77EE78D06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5</xdr:row>
      <xdr:rowOff>76200</xdr:rowOff>
    </xdr:from>
    <xdr:to>
      <xdr:col>19</xdr:col>
      <xdr:colOff>482600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325B2-4DD9-54CD-B653-B5B76AD54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698928</xdr:colOff>
      <xdr:row>13</xdr:row>
      <xdr:rowOff>37138</xdr:rowOff>
    </xdr:from>
    <xdr:to>
      <xdr:col>9</xdr:col>
      <xdr:colOff>374405</xdr:colOff>
      <xdr:row>26</xdr:row>
      <xdr:rowOff>158161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9088F2-70BE-5CE8-6C7E-459F711DB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2</xdr:row>
      <xdr:rowOff>25400</xdr:rowOff>
    </xdr:from>
    <xdr:to>
      <xdr:col>4</xdr:col>
      <xdr:colOff>2131060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A9515-94E2-DA44-8447-CEEC33328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685800</xdr:colOff>
      <xdr:row>2</xdr:row>
      <xdr:rowOff>38100</xdr:rowOff>
    </xdr:from>
    <xdr:to>
      <xdr:col>7</xdr:col>
      <xdr:colOff>990600</xdr:colOff>
      <xdr:row>15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21528-324E-B54D-B306-1A082CCC4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hruba/OSU/CS578%20W26/578%20Project/Findings%20Claude/fp_tracer_completed.xlsx" TargetMode="External"/><Relationship Id="rId1" Type="http://schemas.openxmlformats.org/officeDocument/2006/relationships/externalLinkPath" Target="Findings%20Claude/fp_tracer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y Matrix"/>
      <sheetName val="API Matrix"/>
      <sheetName val="Legend"/>
      <sheetName val="Notes"/>
    </sheetNames>
    <sheetDataSet>
      <sheetData sheetId="0" refreshError="1"/>
      <sheetData sheetId="1">
        <row r="2">
          <cell r="C2" t="str">
            <v>Navigator.appCodeName</v>
          </cell>
          <cell r="D2" t="str">
            <v>Navigator.appName</v>
          </cell>
          <cell r="E2" t="str">
            <v>Navigator.appVersion</v>
          </cell>
          <cell r="F2" t="str">
            <v>Navigator.buildID</v>
          </cell>
          <cell r="G2" t="str">
            <v>Navigator.oscpu</v>
          </cell>
          <cell r="H2" t="str">
            <v>Navigator.platform</v>
          </cell>
          <cell r="I2" t="str">
            <v>Navigator.product</v>
          </cell>
          <cell r="J2" t="str">
            <v>Navigator.productSub</v>
          </cell>
          <cell r="K2" t="str">
            <v>Navigator.userAgent</v>
          </cell>
          <cell r="L2" t="str">
            <v>Navigator.language</v>
          </cell>
          <cell r="M2" t="str">
            <v>HTMLElement.offsetHeight</v>
          </cell>
          <cell r="N2" t="str">
            <v>HTMLElement.offsetWidth</v>
          </cell>
          <cell r="O2" t="str">
            <v>Screen.availHeight</v>
          </cell>
          <cell r="P2" t="str">
            <v>Screen.availWidth</v>
          </cell>
          <cell r="Q2" t="str">
            <v>Screen.colorDepth</v>
          </cell>
          <cell r="R2" t="str">
            <v>Screen.height</v>
          </cell>
          <cell r="S2" t="str">
            <v>Screen.pixelDepth</v>
          </cell>
          <cell r="T2" t="str">
            <v>Screen.width</v>
          </cell>
          <cell r="U2" t="str">
            <v>Navigator.hardwareConcurrency</v>
          </cell>
          <cell r="V2" t="str">
            <v>Navigator.maxTouchPoints</v>
          </cell>
          <cell r="W2" t="str">
            <v>HTMLCanvasElement.toDataURL</v>
          </cell>
          <cell r="X2" t="str">
            <v>WebGLRenderingContext.getParameter</v>
          </cell>
          <cell r="Y2" t="str">
            <v>AudioDestinationNode.maxChannelCount</v>
          </cell>
          <cell r="Z2" t="str">
            <v>document.cookie</v>
          </cell>
          <cell r="AA2" t="str">
            <v>WebSocket.send</v>
          </cell>
          <cell r="AB2" t="str">
            <v>XMLHttpRequest.send</v>
          </cell>
          <cell r="AC2" t="str">
            <v>fetch.body</v>
          </cell>
          <cell r="AD2" t="str">
            <v>fetch.url</v>
          </cell>
          <cell r="AE2" t="str">
            <v>iframe.src</v>
          </cell>
          <cell r="AF2" t="str">
            <v>img.src</v>
          </cell>
          <cell r="AG2" t="str">
            <v>script.src</v>
          </cell>
          <cell r="AH2" t="str">
            <v>History.length</v>
          </cell>
          <cell r="AI2" t="str">
            <v>Navigator.doNotTrack</v>
          </cell>
        </row>
        <row r="3">
          <cell r="B3" t="str">
            <v>google.com</v>
          </cell>
          <cell r="AJ3">
            <v>12</v>
          </cell>
        </row>
        <row r="4">
          <cell r="B4" t="str">
            <v>mail.ru</v>
          </cell>
          <cell r="AJ4">
            <v>11</v>
          </cell>
        </row>
        <row r="5">
          <cell r="B5" t="str">
            <v>microsoft.com</v>
          </cell>
          <cell r="AJ5">
            <v>9</v>
          </cell>
        </row>
        <row r="6">
          <cell r="B6" t="str">
            <v>icann.org</v>
          </cell>
          <cell r="AJ6">
            <v>8</v>
          </cell>
        </row>
        <row r="7">
          <cell r="B7" t="str">
            <v>facebook.com</v>
          </cell>
          <cell r="AJ7">
            <v>0</v>
          </cell>
        </row>
        <row r="8">
          <cell r="B8" t="str">
            <v>cloudflare.com</v>
          </cell>
          <cell r="AJ8">
            <v>17</v>
          </cell>
        </row>
        <row r="9">
          <cell r="B9" t="str">
            <v>apple.com</v>
          </cell>
          <cell r="AJ9">
            <v>8</v>
          </cell>
        </row>
        <row r="10">
          <cell r="B10" t="str">
            <v>amazon.com</v>
          </cell>
          <cell r="AJ10">
            <v>12</v>
          </cell>
        </row>
        <row r="11">
          <cell r="B11" t="str">
            <v>yandex.com</v>
          </cell>
          <cell r="AJ11">
            <v>10</v>
          </cell>
        </row>
        <row r="12">
          <cell r="B12" t="str">
            <v>instagram.com</v>
          </cell>
          <cell r="AJ12">
            <v>0</v>
          </cell>
        </row>
        <row r="13">
          <cell r="B13" t="str">
            <v>akamai.net</v>
          </cell>
          <cell r="AJ13">
            <v>0</v>
          </cell>
        </row>
        <row r="14">
          <cell r="B14" t="str">
            <v>twitter.com</v>
          </cell>
          <cell r="AJ14">
            <v>2</v>
          </cell>
        </row>
        <row r="15">
          <cell r="B15" t="str">
            <v>linkedin.com</v>
          </cell>
          <cell r="AJ15">
            <v>22</v>
          </cell>
        </row>
        <row r="16">
          <cell r="B16" t="str">
            <v>amazon.com</v>
          </cell>
          <cell r="AJ16">
            <v>0</v>
          </cell>
        </row>
        <row r="17">
          <cell r="B17" t="str">
            <v>azure.com</v>
          </cell>
          <cell r="AJ17">
            <v>9</v>
          </cell>
        </row>
        <row r="18">
          <cell r="B18" t="str">
            <v>wikipedia.org</v>
          </cell>
          <cell r="AJ18">
            <v>0</v>
          </cell>
        </row>
        <row r="19">
          <cell r="B19" t="str">
            <v>github.com</v>
          </cell>
          <cell r="AJ19">
            <v>10</v>
          </cell>
        </row>
        <row r="20">
          <cell r="B20" t="str">
            <v>digicert.com</v>
          </cell>
          <cell r="AJ20">
            <v>21</v>
          </cell>
        </row>
        <row r="21">
          <cell r="B21" t="str">
            <v>netflix.com</v>
          </cell>
          <cell r="AJ21">
            <v>2</v>
          </cell>
        </row>
        <row r="22">
          <cell r="B22" t="str">
            <v>whatsapp.net</v>
          </cell>
          <cell r="AJ22">
            <v>0</v>
          </cell>
        </row>
        <row r="23">
          <cell r="B23" t="str">
            <v>fastly.net</v>
          </cell>
          <cell r="AJ23">
            <v>14</v>
          </cell>
        </row>
        <row r="24">
          <cell r="B24" t="str">
            <v>godaddy.com</v>
          </cell>
          <cell r="AJ24">
            <v>0</v>
          </cell>
        </row>
        <row r="25">
          <cell r="B25" t="str">
            <v>wordpress.org</v>
          </cell>
          <cell r="AJ25">
            <v>2</v>
          </cell>
        </row>
        <row r="26">
          <cell r="B26" t="str">
            <v>eero.com</v>
          </cell>
          <cell r="AJ26">
            <v>10</v>
          </cell>
        </row>
        <row r="27">
          <cell r="B27" t="str">
            <v>appsflyer.com</v>
          </cell>
          <cell r="AJ27">
            <v>12</v>
          </cell>
        </row>
        <row r="28">
          <cell r="B28" t="str">
            <v>pinterest.com</v>
          </cell>
          <cell r="AJ28">
            <v>2</v>
          </cell>
        </row>
        <row r="29">
          <cell r="B29" t="str">
            <v>yahoo.com</v>
          </cell>
          <cell r="AJ29">
            <v>16</v>
          </cell>
        </row>
        <row r="30">
          <cell r="B30" t="str">
            <v>gandi.net</v>
          </cell>
          <cell r="AJ30">
            <v>5</v>
          </cell>
        </row>
        <row r="31">
          <cell r="B31" t="str">
            <v>spotify.com</v>
          </cell>
          <cell r="AJ31">
            <v>0</v>
          </cell>
        </row>
        <row r="32">
          <cell r="B32" t="str">
            <v>tiktok.com</v>
          </cell>
          <cell r="AJ32">
            <v>10</v>
          </cell>
        </row>
        <row r="33">
          <cell r="B33" t="str">
            <v>ntp.org</v>
          </cell>
          <cell r="AJ33">
            <v>7</v>
          </cell>
        </row>
        <row r="34">
          <cell r="B34" t="str">
            <v>vimeo.com</v>
          </cell>
          <cell r="AJ34">
            <v>10</v>
          </cell>
        </row>
        <row r="35">
          <cell r="B35" t="str">
            <v>adobe.com</v>
          </cell>
          <cell r="AJ35">
            <v>24</v>
          </cell>
        </row>
        <row r="36">
          <cell r="B36" t="str">
            <v>venmo.com</v>
          </cell>
          <cell r="AJ36">
            <v>5</v>
          </cell>
        </row>
        <row r="37">
          <cell r="B37" t="str">
            <v>roblox.com</v>
          </cell>
          <cell r="AJ37">
            <v>22</v>
          </cell>
        </row>
        <row r="38">
          <cell r="B38" t="str">
            <v>chatgpt.com</v>
          </cell>
          <cell r="AJ38">
            <v>0</v>
          </cell>
        </row>
        <row r="39">
          <cell r="B39" t="str">
            <v>zoom.us</v>
          </cell>
          <cell r="AJ39">
            <v>17</v>
          </cell>
        </row>
        <row r="40">
          <cell r="B40" t="str">
            <v>nic.ru</v>
          </cell>
          <cell r="AJ40">
            <v>2</v>
          </cell>
        </row>
        <row r="41">
          <cell r="B41" t="str">
            <v>qq.com</v>
          </cell>
          <cell r="AJ41">
            <v>16</v>
          </cell>
        </row>
        <row r="42">
          <cell r="B42" t="str">
            <v>nginx.org</v>
          </cell>
          <cell r="AJ42">
            <v>15</v>
          </cell>
        </row>
        <row r="43">
          <cell r="B43" t="str">
            <v>opera.com</v>
          </cell>
          <cell r="AJ43">
            <v>9</v>
          </cell>
        </row>
        <row r="44">
          <cell r="B44" t="str">
            <v>baidu.com</v>
          </cell>
          <cell r="AJ44">
            <v>5</v>
          </cell>
        </row>
        <row r="45">
          <cell r="B45" t="str">
            <v>samsung.com</v>
          </cell>
          <cell r="AJ45">
            <v>16</v>
          </cell>
        </row>
        <row r="46">
          <cell r="B46" t="str">
            <v>bit.ly</v>
          </cell>
          <cell r="AJ46">
            <v>9</v>
          </cell>
        </row>
        <row r="47">
          <cell r="B47" t="str">
            <v>wordpress.com</v>
          </cell>
          <cell r="AJ47">
            <v>11</v>
          </cell>
        </row>
        <row r="48">
          <cell r="B48" t="str">
            <v>intuit.com</v>
          </cell>
          <cell r="AJ48">
            <v>11</v>
          </cell>
        </row>
        <row r="49">
          <cell r="B49" t="str">
            <v>ok.ru</v>
          </cell>
          <cell r="AJ49">
            <v>11</v>
          </cell>
        </row>
        <row r="50">
          <cell r="B50" t="str">
            <v>ui.com</v>
          </cell>
          <cell r="AJ50">
            <v>9</v>
          </cell>
        </row>
        <row r="51">
          <cell r="B51" t="str">
            <v>sentry.io</v>
          </cell>
          <cell r="AJ51">
            <v>3</v>
          </cell>
        </row>
        <row r="52">
          <cell r="B52" t="str">
            <v>windows.com</v>
          </cell>
          <cell r="AJ52">
            <v>14</v>
          </cell>
        </row>
        <row r="53">
          <cell r="B53" t="str">
            <v>mozilla.org</v>
          </cell>
          <cell r="AJ53">
            <v>4</v>
          </cell>
        </row>
        <row r="54">
          <cell r="B54" t="str">
            <v>reddit.com</v>
          </cell>
          <cell r="AJ54">
            <v>1</v>
          </cell>
        </row>
        <row r="55">
          <cell r="B55" t="str">
            <v>unity3d.com</v>
          </cell>
          <cell r="AJ55">
            <v>9</v>
          </cell>
        </row>
        <row r="56">
          <cell r="B56" t="str">
            <v>paypal.com</v>
          </cell>
          <cell r="AJ56">
            <v>6</v>
          </cell>
        </row>
        <row r="57">
          <cell r="B57" t="str">
            <v>vk.com</v>
          </cell>
          <cell r="AJ57">
            <v>16</v>
          </cell>
        </row>
        <row r="58">
          <cell r="B58" t="str">
            <v>google.com</v>
          </cell>
          <cell r="AJ58">
            <v>0</v>
          </cell>
        </row>
        <row r="59">
          <cell r="B59" t="str">
            <v>t.me</v>
          </cell>
          <cell r="AJ59">
            <v>0</v>
          </cell>
        </row>
        <row r="60">
          <cell r="B60" t="str">
            <v>europa.eu</v>
          </cell>
          <cell r="AJ60">
            <v>5</v>
          </cell>
        </row>
        <row r="61">
          <cell r="B61" t="str">
            <v>snapchat.com</v>
          </cell>
          <cell r="AJ61">
            <v>2</v>
          </cell>
        </row>
        <row r="62">
          <cell r="B62" t="str">
            <v>discord.gg</v>
          </cell>
          <cell r="AJ62">
            <v>6</v>
          </cell>
        </row>
        <row r="63">
          <cell r="B63" t="str">
            <v>cloud.microsoft</v>
          </cell>
          <cell r="AJ63">
            <v>6</v>
          </cell>
        </row>
        <row r="64">
          <cell r="B64" t="str">
            <v>netify.ai</v>
          </cell>
          <cell r="AJ64">
            <v>0</v>
          </cell>
        </row>
        <row r="65">
          <cell r="B65" t="str">
            <v>apache.org</v>
          </cell>
          <cell r="AJ65">
            <v>2</v>
          </cell>
        </row>
        <row r="66">
          <cell r="B66" t="str">
            <v>epicgames.com</v>
          </cell>
          <cell r="AJ66">
            <v>3</v>
          </cell>
        </row>
        <row r="67">
          <cell r="B67" t="str">
            <v>trbcdn.com</v>
          </cell>
          <cell r="AJ67">
            <v>10</v>
          </cell>
        </row>
        <row r="68">
          <cell r="B68" t="str">
            <v>amazonvideo.com</v>
          </cell>
          <cell r="AJ68">
            <v>8</v>
          </cell>
        </row>
        <row r="69">
          <cell r="B69" t="str">
            <v>outlook.com</v>
          </cell>
          <cell r="AJ69">
            <v>10</v>
          </cell>
        </row>
        <row r="70">
          <cell r="B70" t="str">
            <v>dropbox.com</v>
          </cell>
          <cell r="AJ70">
            <v>16</v>
          </cell>
        </row>
        <row r="71">
          <cell r="B71" t="str">
            <v>0xrpc.io</v>
          </cell>
          <cell r="AJ71">
            <v>0</v>
          </cell>
        </row>
        <row r="72">
          <cell r="B72" t="str">
            <v>criteo.com</v>
          </cell>
          <cell r="AJ72">
            <v>15</v>
          </cell>
        </row>
        <row r="73">
          <cell r="B73" t="str">
            <v>xiaomi.com</v>
          </cell>
          <cell r="AJ73">
            <v>9</v>
          </cell>
        </row>
        <row r="74">
          <cell r="B74" t="str">
            <v>archive.org</v>
          </cell>
          <cell r="AJ74">
            <v>2</v>
          </cell>
        </row>
        <row r="75">
          <cell r="B75" t="str">
            <v>applovin.com</v>
          </cell>
          <cell r="AJ75">
            <v>5</v>
          </cell>
        </row>
        <row r="76">
          <cell r="B76" t="str">
            <v>tumblr.com</v>
          </cell>
          <cell r="AJ76">
            <v>9</v>
          </cell>
        </row>
        <row r="77">
          <cell r="B77" t="str">
            <v>f5.com</v>
          </cell>
          <cell r="AJ77">
            <v>0</v>
          </cell>
        </row>
        <row r="78">
          <cell r="B78" t="str">
            <v>mi.com</v>
          </cell>
          <cell r="AJ78">
            <v>0</v>
          </cell>
        </row>
        <row r="79">
          <cell r="B79" t="str">
            <v>cpanel.net</v>
          </cell>
          <cell r="AJ79">
            <v>6</v>
          </cell>
        </row>
        <row r="80">
          <cell r="B80" t="str">
            <v>demdex.net</v>
          </cell>
          <cell r="AJ80">
            <v>0</v>
          </cell>
        </row>
        <row r="81">
          <cell r="B81" t="str">
            <v>doi.org</v>
          </cell>
          <cell r="AJ81">
            <v>0</v>
          </cell>
        </row>
        <row r="82">
          <cell r="B82" t="str">
            <v>merkle.io</v>
          </cell>
          <cell r="AJ82">
            <v>0</v>
          </cell>
        </row>
        <row r="83">
          <cell r="B83" t="str">
            <v>roku.com</v>
          </cell>
          <cell r="AJ83">
            <v>6</v>
          </cell>
        </row>
        <row r="84">
          <cell r="B84" t="str">
            <v>doubleverify.com</v>
          </cell>
          <cell r="AJ84">
            <v>7</v>
          </cell>
        </row>
        <row r="85">
          <cell r="B85" t="str">
            <v>scorecardresearch.com</v>
          </cell>
          <cell r="AJ85">
            <v>6</v>
          </cell>
        </row>
        <row r="86">
          <cell r="B86" t="str">
            <v>imdb.com</v>
          </cell>
          <cell r="AJ86">
            <v>2</v>
          </cell>
        </row>
        <row r="87">
          <cell r="B87" t="str">
            <v>indexexchange.com</v>
          </cell>
          <cell r="AJ87">
            <v>5</v>
          </cell>
        </row>
        <row r="88">
          <cell r="B88" t="str">
            <v>linktr.ee</v>
          </cell>
          <cell r="AJ88">
            <v>15</v>
          </cell>
        </row>
        <row r="89">
          <cell r="B89" t="str">
            <v>wix.com</v>
          </cell>
          <cell r="AJ89">
            <v>16</v>
          </cell>
        </row>
        <row r="90">
          <cell r="B90" t="str">
            <v>hubspot.com</v>
          </cell>
          <cell r="AJ90">
            <v>6</v>
          </cell>
        </row>
        <row r="91">
          <cell r="B91" t="str">
            <v>yandex.com</v>
          </cell>
          <cell r="AJ91">
            <v>0</v>
          </cell>
        </row>
        <row r="92">
          <cell r="B92" t="str">
            <v>salesforce.com</v>
          </cell>
          <cell r="AJ92">
            <v>17</v>
          </cell>
        </row>
        <row r="93">
          <cell r="B93" t="str">
            <v>hp.com</v>
          </cell>
          <cell r="AJ93">
            <v>25</v>
          </cell>
        </row>
        <row r="94">
          <cell r="B94" t="str">
            <v>stripe.com</v>
          </cell>
          <cell r="AJ94">
            <v>16</v>
          </cell>
        </row>
        <row r="95">
          <cell r="B95" t="str">
            <v>inmobi.com</v>
          </cell>
          <cell r="AJ95">
            <v>11</v>
          </cell>
        </row>
        <row r="96">
          <cell r="B96" t="str">
            <v>mikrotik.com</v>
          </cell>
          <cell r="AJ96">
            <v>0</v>
          </cell>
        </row>
        <row r="97">
          <cell r="B97" t="str">
            <v>googleapis.com</v>
          </cell>
          <cell r="AJ97">
            <v>0</v>
          </cell>
        </row>
        <row r="98">
          <cell r="B98" t="str">
            <v>samsungcloud.com</v>
          </cell>
          <cell r="AJ98">
            <v>4</v>
          </cell>
        </row>
        <row r="99">
          <cell r="B99" t="str">
            <v>grammarly.com</v>
          </cell>
          <cell r="AJ99">
            <v>11</v>
          </cell>
        </row>
        <row r="100">
          <cell r="B100" t="str">
            <v>moe.video</v>
          </cell>
          <cell r="AJ100">
            <v>11</v>
          </cell>
        </row>
        <row r="101">
          <cell r="B101" t="str">
            <v>kaspersky.com</v>
          </cell>
          <cell r="AJ101">
            <v>12</v>
          </cell>
        </row>
        <row r="102">
          <cell r="B102" t="str">
            <v>slack.com</v>
          </cell>
          <cell r="AJ102">
            <v>11</v>
          </cell>
        </row>
        <row r="103">
          <cell r="B103" t="str">
            <v>Total</v>
          </cell>
          <cell r="C103">
            <v>5</v>
          </cell>
          <cell r="D103">
            <v>5</v>
          </cell>
          <cell r="E103">
            <v>6</v>
          </cell>
          <cell r="F103">
            <v>5</v>
          </cell>
          <cell r="G103">
            <v>5</v>
          </cell>
          <cell r="H103">
            <v>35</v>
          </cell>
          <cell r="I103">
            <v>6</v>
          </cell>
          <cell r="J103">
            <v>7</v>
          </cell>
          <cell r="K103">
            <v>65</v>
          </cell>
          <cell r="L103">
            <v>62</v>
          </cell>
          <cell r="M103">
            <v>4</v>
          </cell>
          <cell r="N103">
            <v>2</v>
          </cell>
          <cell r="O103">
            <v>28</v>
          </cell>
          <cell r="P103">
            <v>28</v>
          </cell>
          <cell r="Q103">
            <v>47</v>
          </cell>
          <cell r="R103">
            <v>68</v>
          </cell>
          <cell r="S103">
            <v>11</v>
          </cell>
          <cell r="T103">
            <v>68</v>
          </cell>
          <cell r="U103">
            <v>18</v>
          </cell>
          <cell r="V103">
            <v>13</v>
          </cell>
          <cell r="W103">
            <v>7</v>
          </cell>
          <cell r="X103">
            <v>12</v>
          </cell>
          <cell r="Y103">
            <v>1</v>
          </cell>
          <cell r="Z103">
            <v>28</v>
          </cell>
          <cell r="AA103">
            <v>6</v>
          </cell>
          <cell r="AB103">
            <v>41</v>
          </cell>
          <cell r="AC103">
            <v>41</v>
          </cell>
          <cell r="AD103">
            <v>49</v>
          </cell>
          <cell r="AE103">
            <v>1</v>
          </cell>
          <cell r="AF103">
            <v>47</v>
          </cell>
          <cell r="AG103">
            <v>23</v>
          </cell>
          <cell r="AH103">
            <v>14</v>
          </cell>
          <cell r="AI103">
            <v>13</v>
          </cell>
          <cell r="AJ103">
            <v>7.71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pinterest.com/" TargetMode="External"/><Relationship Id="rId21" Type="http://schemas.openxmlformats.org/officeDocument/2006/relationships/hyperlink" Target="http://fastly.net/" TargetMode="External"/><Relationship Id="rId42" Type="http://schemas.openxmlformats.org/officeDocument/2006/relationships/hyperlink" Target="http://samsung.com/" TargetMode="External"/><Relationship Id="rId47" Type="http://schemas.openxmlformats.org/officeDocument/2006/relationships/hyperlink" Target="http://ui.com/" TargetMode="External"/><Relationship Id="rId63" Type="http://schemas.openxmlformats.org/officeDocument/2006/relationships/hyperlink" Target="http://amazonvideo.com/" TargetMode="External"/><Relationship Id="rId68" Type="http://schemas.openxmlformats.org/officeDocument/2006/relationships/hyperlink" Target="http://xiaomi.com/" TargetMode="External"/><Relationship Id="rId84" Type="http://schemas.openxmlformats.org/officeDocument/2006/relationships/hyperlink" Target="http://wix.com/" TargetMode="External"/><Relationship Id="rId89" Type="http://schemas.openxmlformats.org/officeDocument/2006/relationships/hyperlink" Target="http://stripe.com/" TargetMode="External"/><Relationship Id="rId16" Type="http://schemas.openxmlformats.org/officeDocument/2006/relationships/hyperlink" Target="http://wikipedia.org/" TargetMode="External"/><Relationship Id="rId11" Type="http://schemas.openxmlformats.org/officeDocument/2006/relationships/hyperlink" Target="http://akamai.net/" TargetMode="External"/><Relationship Id="rId32" Type="http://schemas.openxmlformats.org/officeDocument/2006/relationships/hyperlink" Target="http://vimeo.com/" TargetMode="External"/><Relationship Id="rId37" Type="http://schemas.openxmlformats.org/officeDocument/2006/relationships/hyperlink" Target="http://nic.ru/" TargetMode="External"/><Relationship Id="rId53" Type="http://schemas.openxmlformats.org/officeDocument/2006/relationships/hyperlink" Target="http://vk.com/" TargetMode="External"/><Relationship Id="rId58" Type="http://schemas.openxmlformats.org/officeDocument/2006/relationships/hyperlink" Target="https://m365.cloud.microsoft/" TargetMode="External"/><Relationship Id="rId74" Type="http://schemas.openxmlformats.org/officeDocument/2006/relationships/hyperlink" Target="http://cpanel.net/" TargetMode="External"/><Relationship Id="rId79" Type="http://schemas.openxmlformats.org/officeDocument/2006/relationships/hyperlink" Target="http://doubleverify.com/" TargetMode="External"/><Relationship Id="rId5" Type="http://schemas.openxmlformats.org/officeDocument/2006/relationships/hyperlink" Target="http://facebook.com/" TargetMode="External"/><Relationship Id="rId90" Type="http://schemas.openxmlformats.org/officeDocument/2006/relationships/hyperlink" Target="http://advertising.inmobi.com/" TargetMode="External"/><Relationship Id="rId95" Type="http://schemas.openxmlformats.org/officeDocument/2006/relationships/hyperlink" Target="http://kaspersky.com/" TargetMode="External"/><Relationship Id="rId22" Type="http://schemas.openxmlformats.org/officeDocument/2006/relationships/hyperlink" Target="http://domaincontrol.com/godaddy.com" TargetMode="External"/><Relationship Id="rId27" Type="http://schemas.openxmlformats.org/officeDocument/2006/relationships/hyperlink" Target="http://yahoo.com/" TargetMode="External"/><Relationship Id="rId43" Type="http://schemas.openxmlformats.org/officeDocument/2006/relationships/hyperlink" Target="http://bit.ly/" TargetMode="External"/><Relationship Id="rId48" Type="http://schemas.openxmlformats.org/officeDocument/2006/relationships/hyperlink" Target="http://sentry.io/" TargetMode="External"/><Relationship Id="rId64" Type="http://schemas.openxmlformats.org/officeDocument/2006/relationships/hyperlink" Target="http://outlook.com/" TargetMode="External"/><Relationship Id="rId69" Type="http://schemas.openxmlformats.org/officeDocument/2006/relationships/hyperlink" Target="http://archive.org/" TargetMode="External"/><Relationship Id="rId80" Type="http://schemas.openxmlformats.org/officeDocument/2006/relationships/hyperlink" Target="http://scorecardresearch.com/" TargetMode="External"/><Relationship Id="rId85" Type="http://schemas.openxmlformats.org/officeDocument/2006/relationships/hyperlink" Target="http://legal.hubspot.com/" TargetMode="External"/><Relationship Id="rId3" Type="http://schemas.openxmlformats.org/officeDocument/2006/relationships/hyperlink" Target="http://microsoft.com/" TargetMode="External"/><Relationship Id="rId12" Type="http://schemas.openxmlformats.org/officeDocument/2006/relationships/hyperlink" Target="http://twitter.com/" TargetMode="External"/><Relationship Id="rId17" Type="http://schemas.openxmlformats.org/officeDocument/2006/relationships/hyperlink" Target="http://github.com/" TargetMode="External"/><Relationship Id="rId25" Type="http://schemas.openxmlformats.org/officeDocument/2006/relationships/hyperlink" Target="http://appsflyersdk.com/" TargetMode="External"/><Relationship Id="rId33" Type="http://schemas.openxmlformats.org/officeDocument/2006/relationships/hyperlink" Target="http://venmo.com/" TargetMode="External"/><Relationship Id="rId38" Type="http://schemas.openxmlformats.org/officeDocument/2006/relationships/hyperlink" Target="http://qq.com/" TargetMode="External"/><Relationship Id="rId46" Type="http://schemas.openxmlformats.org/officeDocument/2006/relationships/hyperlink" Target="http://okcdn.ru/" TargetMode="External"/><Relationship Id="rId59" Type="http://schemas.openxmlformats.org/officeDocument/2006/relationships/hyperlink" Target="https://www.netify.ai/" TargetMode="External"/><Relationship Id="rId67" Type="http://schemas.openxmlformats.org/officeDocument/2006/relationships/hyperlink" Target="http://criteo.com/" TargetMode="External"/><Relationship Id="rId20" Type="http://schemas.openxmlformats.org/officeDocument/2006/relationships/hyperlink" Target="http://whatsapp.net/" TargetMode="External"/><Relationship Id="rId41" Type="http://schemas.openxmlformats.org/officeDocument/2006/relationships/hyperlink" Target="http://baidu.com/" TargetMode="External"/><Relationship Id="rId54" Type="http://schemas.openxmlformats.org/officeDocument/2006/relationships/hyperlink" Target="http://blogspot.com/" TargetMode="External"/><Relationship Id="rId62" Type="http://schemas.openxmlformats.org/officeDocument/2006/relationships/hyperlink" Target="http://trbcdn.com/" TargetMode="External"/><Relationship Id="rId70" Type="http://schemas.openxmlformats.org/officeDocument/2006/relationships/hyperlink" Target="http://applovin.com/" TargetMode="External"/><Relationship Id="rId75" Type="http://schemas.openxmlformats.org/officeDocument/2006/relationships/hyperlink" Target="http://demdex.net/" TargetMode="External"/><Relationship Id="rId83" Type="http://schemas.openxmlformats.org/officeDocument/2006/relationships/hyperlink" Target="http://linktr.ee/" TargetMode="External"/><Relationship Id="rId88" Type="http://schemas.openxmlformats.org/officeDocument/2006/relationships/hyperlink" Target="http://hp.com/" TargetMode="External"/><Relationship Id="rId91" Type="http://schemas.openxmlformats.org/officeDocument/2006/relationships/hyperlink" Target="http://mikrotik.com/" TargetMode="External"/><Relationship Id="rId96" Type="http://schemas.openxmlformats.org/officeDocument/2006/relationships/hyperlink" Target="http://slack.com/" TargetMode="External"/><Relationship Id="rId1" Type="http://schemas.openxmlformats.org/officeDocument/2006/relationships/hyperlink" Target="http://google.com/" TargetMode="External"/><Relationship Id="rId6" Type="http://schemas.openxmlformats.org/officeDocument/2006/relationships/hyperlink" Target="http://cloudflare.com/" TargetMode="External"/><Relationship Id="rId15" Type="http://schemas.openxmlformats.org/officeDocument/2006/relationships/hyperlink" Target="http://azure.com/" TargetMode="External"/><Relationship Id="rId23" Type="http://schemas.openxmlformats.org/officeDocument/2006/relationships/hyperlink" Target="http://wordpress.org/" TargetMode="External"/><Relationship Id="rId28" Type="http://schemas.openxmlformats.org/officeDocument/2006/relationships/hyperlink" Target="http://gandi.net/" TargetMode="External"/><Relationship Id="rId36" Type="http://schemas.openxmlformats.org/officeDocument/2006/relationships/hyperlink" Target="http://zoom.us/" TargetMode="External"/><Relationship Id="rId49" Type="http://schemas.openxmlformats.org/officeDocument/2006/relationships/hyperlink" Target="http://windows.com/" TargetMode="External"/><Relationship Id="rId57" Type="http://schemas.openxmlformats.org/officeDocument/2006/relationships/hyperlink" Target="http://discord.gg/" TargetMode="External"/><Relationship Id="rId10" Type="http://schemas.openxmlformats.org/officeDocument/2006/relationships/hyperlink" Target="http://instagram.com/" TargetMode="External"/><Relationship Id="rId31" Type="http://schemas.openxmlformats.org/officeDocument/2006/relationships/hyperlink" Target="http://ntp.org/" TargetMode="External"/><Relationship Id="rId44" Type="http://schemas.openxmlformats.org/officeDocument/2006/relationships/hyperlink" Target="http://wordpress.com/" TargetMode="External"/><Relationship Id="rId52" Type="http://schemas.openxmlformats.org/officeDocument/2006/relationships/hyperlink" Target="http://unity3d.com/" TargetMode="External"/><Relationship Id="rId60" Type="http://schemas.openxmlformats.org/officeDocument/2006/relationships/hyperlink" Target="http://apache.org/" TargetMode="External"/><Relationship Id="rId65" Type="http://schemas.openxmlformats.org/officeDocument/2006/relationships/hyperlink" Target="http://dropbox.com/" TargetMode="External"/><Relationship Id="rId73" Type="http://schemas.openxmlformats.org/officeDocument/2006/relationships/hyperlink" Target="http://home.miui.com/" TargetMode="External"/><Relationship Id="rId78" Type="http://schemas.openxmlformats.org/officeDocument/2006/relationships/hyperlink" Target="http://roku.com/" TargetMode="External"/><Relationship Id="rId81" Type="http://schemas.openxmlformats.org/officeDocument/2006/relationships/hyperlink" Target="http://imdb.com/" TargetMode="External"/><Relationship Id="rId86" Type="http://schemas.openxmlformats.org/officeDocument/2006/relationships/hyperlink" Target="http://yandex.com/" TargetMode="External"/><Relationship Id="rId94" Type="http://schemas.openxmlformats.org/officeDocument/2006/relationships/hyperlink" Target="http://grammarly.com/" TargetMode="External"/><Relationship Id="rId4" Type="http://schemas.openxmlformats.org/officeDocument/2006/relationships/hyperlink" Target="http://gtld-servers.net/" TargetMode="External"/><Relationship Id="rId9" Type="http://schemas.openxmlformats.org/officeDocument/2006/relationships/hyperlink" Target="http://dzen.ru/" TargetMode="External"/><Relationship Id="rId13" Type="http://schemas.openxmlformats.org/officeDocument/2006/relationships/hyperlink" Target="http://linkedin.com/" TargetMode="External"/><Relationship Id="rId18" Type="http://schemas.openxmlformats.org/officeDocument/2006/relationships/hyperlink" Target="http://digicert.com/" TargetMode="External"/><Relationship Id="rId39" Type="http://schemas.openxmlformats.org/officeDocument/2006/relationships/hyperlink" Target="http://nginx.org/" TargetMode="External"/><Relationship Id="rId34" Type="http://schemas.openxmlformats.org/officeDocument/2006/relationships/hyperlink" Target="http://roblox.com/" TargetMode="External"/><Relationship Id="rId50" Type="http://schemas.openxmlformats.org/officeDocument/2006/relationships/hyperlink" Target="http://mozilla.org/" TargetMode="External"/><Relationship Id="rId55" Type="http://schemas.openxmlformats.org/officeDocument/2006/relationships/hyperlink" Target="http://t.me/" TargetMode="External"/><Relationship Id="rId76" Type="http://schemas.openxmlformats.org/officeDocument/2006/relationships/hyperlink" Target="http://doi.org/" TargetMode="External"/><Relationship Id="rId97" Type="http://schemas.openxmlformats.org/officeDocument/2006/relationships/hyperlink" Target="http://paypal.com/" TargetMode="External"/><Relationship Id="rId7" Type="http://schemas.openxmlformats.org/officeDocument/2006/relationships/hyperlink" Target="http://apple.com/" TargetMode="External"/><Relationship Id="rId71" Type="http://schemas.openxmlformats.org/officeDocument/2006/relationships/hyperlink" Target="http://tumblr.com/" TargetMode="External"/><Relationship Id="rId92" Type="http://schemas.openxmlformats.org/officeDocument/2006/relationships/hyperlink" Target="http://firebasestorage.googleapis.com/" TargetMode="External"/><Relationship Id="rId2" Type="http://schemas.openxmlformats.org/officeDocument/2006/relationships/hyperlink" Target="http://mail.ru/" TargetMode="External"/><Relationship Id="rId29" Type="http://schemas.openxmlformats.org/officeDocument/2006/relationships/hyperlink" Target="http://spotify.com/" TargetMode="External"/><Relationship Id="rId24" Type="http://schemas.openxmlformats.org/officeDocument/2006/relationships/hyperlink" Target="http://e2ro.com/" TargetMode="External"/><Relationship Id="rId40" Type="http://schemas.openxmlformats.org/officeDocument/2006/relationships/hyperlink" Target="http://opera.com/" TargetMode="External"/><Relationship Id="rId45" Type="http://schemas.openxmlformats.org/officeDocument/2006/relationships/hyperlink" Target="http://intuit.com/" TargetMode="External"/><Relationship Id="rId66" Type="http://schemas.openxmlformats.org/officeDocument/2006/relationships/hyperlink" Target="http://0xrpc.io/" TargetMode="External"/><Relationship Id="rId87" Type="http://schemas.openxmlformats.org/officeDocument/2006/relationships/hyperlink" Target="http://salesforce.com/" TargetMode="External"/><Relationship Id="rId61" Type="http://schemas.openxmlformats.org/officeDocument/2006/relationships/hyperlink" Target="http://epicgames.com/" TargetMode="External"/><Relationship Id="rId82" Type="http://schemas.openxmlformats.org/officeDocument/2006/relationships/hyperlink" Target="http://indexexchange.com/" TargetMode="External"/><Relationship Id="rId19" Type="http://schemas.openxmlformats.org/officeDocument/2006/relationships/hyperlink" Target="http://netflix.com/" TargetMode="External"/><Relationship Id="rId14" Type="http://schemas.openxmlformats.org/officeDocument/2006/relationships/hyperlink" Target="http://amazon.com/" TargetMode="External"/><Relationship Id="rId30" Type="http://schemas.openxmlformats.org/officeDocument/2006/relationships/hyperlink" Target="http://tiktok.com/" TargetMode="External"/><Relationship Id="rId35" Type="http://schemas.openxmlformats.org/officeDocument/2006/relationships/hyperlink" Target="http://chatgpt.com/" TargetMode="External"/><Relationship Id="rId56" Type="http://schemas.openxmlformats.org/officeDocument/2006/relationships/hyperlink" Target="http://snapchat.com/" TargetMode="External"/><Relationship Id="rId77" Type="http://schemas.openxmlformats.org/officeDocument/2006/relationships/hyperlink" Target="http://merkle.io/" TargetMode="External"/><Relationship Id="rId8" Type="http://schemas.openxmlformats.org/officeDocument/2006/relationships/hyperlink" Target="http://amazonaws.com/" TargetMode="External"/><Relationship Id="rId51" Type="http://schemas.openxmlformats.org/officeDocument/2006/relationships/hyperlink" Target="http://reddit.com/" TargetMode="External"/><Relationship Id="rId72" Type="http://schemas.openxmlformats.org/officeDocument/2006/relationships/hyperlink" Target="http://f5.com/" TargetMode="External"/><Relationship Id="rId93" Type="http://schemas.openxmlformats.org/officeDocument/2006/relationships/hyperlink" Target="http://samsungcloud.com/" TargetMode="External"/><Relationship Id="rId98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pinterest.com/" TargetMode="External"/><Relationship Id="rId21" Type="http://schemas.openxmlformats.org/officeDocument/2006/relationships/hyperlink" Target="http://fastly.net/" TargetMode="External"/><Relationship Id="rId42" Type="http://schemas.openxmlformats.org/officeDocument/2006/relationships/hyperlink" Target="http://samsung.com/" TargetMode="External"/><Relationship Id="rId47" Type="http://schemas.openxmlformats.org/officeDocument/2006/relationships/hyperlink" Target="http://ui.com/" TargetMode="External"/><Relationship Id="rId63" Type="http://schemas.openxmlformats.org/officeDocument/2006/relationships/hyperlink" Target="http://trbcdn.com/" TargetMode="External"/><Relationship Id="rId68" Type="http://schemas.openxmlformats.org/officeDocument/2006/relationships/hyperlink" Target="http://criteo.com/" TargetMode="External"/><Relationship Id="rId84" Type="http://schemas.openxmlformats.org/officeDocument/2006/relationships/hyperlink" Target="http://linktr.ee/" TargetMode="External"/><Relationship Id="rId89" Type="http://schemas.openxmlformats.org/officeDocument/2006/relationships/hyperlink" Target="http://hp.com/" TargetMode="External"/><Relationship Id="rId16" Type="http://schemas.openxmlformats.org/officeDocument/2006/relationships/hyperlink" Target="http://wikipedia.org/" TargetMode="External"/><Relationship Id="rId11" Type="http://schemas.openxmlformats.org/officeDocument/2006/relationships/hyperlink" Target="http://akamai.net/" TargetMode="External"/><Relationship Id="rId32" Type="http://schemas.openxmlformats.org/officeDocument/2006/relationships/hyperlink" Target="http://vimeo.com/" TargetMode="External"/><Relationship Id="rId37" Type="http://schemas.openxmlformats.org/officeDocument/2006/relationships/hyperlink" Target="http://nic.ru/" TargetMode="External"/><Relationship Id="rId53" Type="http://schemas.openxmlformats.org/officeDocument/2006/relationships/hyperlink" Target="http://paypal.com/" TargetMode="External"/><Relationship Id="rId58" Type="http://schemas.openxmlformats.org/officeDocument/2006/relationships/hyperlink" Target="http://discord.gg/" TargetMode="External"/><Relationship Id="rId74" Type="http://schemas.openxmlformats.org/officeDocument/2006/relationships/hyperlink" Target="http://home.miui.com/" TargetMode="External"/><Relationship Id="rId79" Type="http://schemas.openxmlformats.org/officeDocument/2006/relationships/hyperlink" Target="http://roku.com/" TargetMode="External"/><Relationship Id="rId5" Type="http://schemas.openxmlformats.org/officeDocument/2006/relationships/hyperlink" Target="http://facebook.com/" TargetMode="External"/><Relationship Id="rId90" Type="http://schemas.openxmlformats.org/officeDocument/2006/relationships/hyperlink" Target="http://stripe.com/" TargetMode="External"/><Relationship Id="rId95" Type="http://schemas.openxmlformats.org/officeDocument/2006/relationships/hyperlink" Target="http://grammarly.com/" TargetMode="External"/><Relationship Id="rId22" Type="http://schemas.openxmlformats.org/officeDocument/2006/relationships/hyperlink" Target="http://domaincontrol.com/godaddy.com" TargetMode="External"/><Relationship Id="rId27" Type="http://schemas.openxmlformats.org/officeDocument/2006/relationships/hyperlink" Target="http://yahoo.com/" TargetMode="External"/><Relationship Id="rId43" Type="http://schemas.openxmlformats.org/officeDocument/2006/relationships/hyperlink" Target="http://bit.ly/" TargetMode="External"/><Relationship Id="rId48" Type="http://schemas.openxmlformats.org/officeDocument/2006/relationships/hyperlink" Target="http://sentry.io/" TargetMode="External"/><Relationship Id="rId64" Type="http://schemas.openxmlformats.org/officeDocument/2006/relationships/hyperlink" Target="http://amazonvideo.com/" TargetMode="External"/><Relationship Id="rId69" Type="http://schemas.openxmlformats.org/officeDocument/2006/relationships/hyperlink" Target="http://xiaomi.com/" TargetMode="External"/><Relationship Id="rId80" Type="http://schemas.openxmlformats.org/officeDocument/2006/relationships/hyperlink" Target="http://doubleverify.com/" TargetMode="External"/><Relationship Id="rId85" Type="http://schemas.openxmlformats.org/officeDocument/2006/relationships/hyperlink" Target="http://wix.com/" TargetMode="External"/><Relationship Id="rId3" Type="http://schemas.openxmlformats.org/officeDocument/2006/relationships/hyperlink" Target="http://microsoft.com/" TargetMode="External"/><Relationship Id="rId12" Type="http://schemas.openxmlformats.org/officeDocument/2006/relationships/hyperlink" Target="http://twitter.com/" TargetMode="External"/><Relationship Id="rId17" Type="http://schemas.openxmlformats.org/officeDocument/2006/relationships/hyperlink" Target="http://github.com/" TargetMode="External"/><Relationship Id="rId25" Type="http://schemas.openxmlformats.org/officeDocument/2006/relationships/hyperlink" Target="http://appsflyersdk.com/" TargetMode="External"/><Relationship Id="rId33" Type="http://schemas.openxmlformats.org/officeDocument/2006/relationships/hyperlink" Target="http://venmo.com/" TargetMode="External"/><Relationship Id="rId38" Type="http://schemas.openxmlformats.org/officeDocument/2006/relationships/hyperlink" Target="http://qq.com/" TargetMode="External"/><Relationship Id="rId46" Type="http://schemas.openxmlformats.org/officeDocument/2006/relationships/hyperlink" Target="http://okcdn.ru/" TargetMode="External"/><Relationship Id="rId59" Type="http://schemas.openxmlformats.org/officeDocument/2006/relationships/hyperlink" Target="https://m365.cloud.microsoft/" TargetMode="External"/><Relationship Id="rId67" Type="http://schemas.openxmlformats.org/officeDocument/2006/relationships/hyperlink" Target="http://0xrpc.io/" TargetMode="External"/><Relationship Id="rId20" Type="http://schemas.openxmlformats.org/officeDocument/2006/relationships/hyperlink" Target="http://whatsapp.net/" TargetMode="External"/><Relationship Id="rId41" Type="http://schemas.openxmlformats.org/officeDocument/2006/relationships/hyperlink" Target="http://baidu.com/" TargetMode="External"/><Relationship Id="rId54" Type="http://schemas.openxmlformats.org/officeDocument/2006/relationships/hyperlink" Target="http://vk.com/" TargetMode="External"/><Relationship Id="rId62" Type="http://schemas.openxmlformats.org/officeDocument/2006/relationships/hyperlink" Target="http://epicgames.com/" TargetMode="External"/><Relationship Id="rId70" Type="http://schemas.openxmlformats.org/officeDocument/2006/relationships/hyperlink" Target="http://archive.org/" TargetMode="External"/><Relationship Id="rId75" Type="http://schemas.openxmlformats.org/officeDocument/2006/relationships/hyperlink" Target="http://cpanel.net/" TargetMode="External"/><Relationship Id="rId83" Type="http://schemas.openxmlformats.org/officeDocument/2006/relationships/hyperlink" Target="http://indexexchange.com/" TargetMode="External"/><Relationship Id="rId88" Type="http://schemas.openxmlformats.org/officeDocument/2006/relationships/hyperlink" Target="http://salesforce.com/" TargetMode="External"/><Relationship Id="rId91" Type="http://schemas.openxmlformats.org/officeDocument/2006/relationships/hyperlink" Target="http://advertising.inmobi.com/" TargetMode="External"/><Relationship Id="rId96" Type="http://schemas.openxmlformats.org/officeDocument/2006/relationships/hyperlink" Target="http://kaspersky.com/" TargetMode="External"/><Relationship Id="rId1" Type="http://schemas.openxmlformats.org/officeDocument/2006/relationships/hyperlink" Target="http://google.com/" TargetMode="External"/><Relationship Id="rId6" Type="http://schemas.openxmlformats.org/officeDocument/2006/relationships/hyperlink" Target="http://cloudflare.com/" TargetMode="External"/><Relationship Id="rId15" Type="http://schemas.openxmlformats.org/officeDocument/2006/relationships/hyperlink" Target="http://azure.com/" TargetMode="External"/><Relationship Id="rId23" Type="http://schemas.openxmlformats.org/officeDocument/2006/relationships/hyperlink" Target="http://wordpress.org/" TargetMode="External"/><Relationship Id="rId28" Type="http://schemas.openxmlformats.org/officeDocument/2006/relationships/hyperlink" Target="http://gandi.net/" TargetMode="External"/><Relationship Id="rId36" Type="http://schemas.openxmlformats.org/officeDocument/2006/relationships/hyperlink" Target="http://zoom.us/" TargetMode="External"/><Relationship Id="rId49" Type="http://schemas.openxmlformats.org/officeDocument/2006/relationships/hyperlink" Target="http://windows.com/" TargetMode="External"/><Relationship Id="rId57" Type="http://schemas.openxmlformats.org/officeDocument/2006/relationships/hyperlink" Target="http://snapchat.com/" TargetMode="External"/><Relationship Id="rId10" Type="http://schemas.openxmlformats.org/officeDocument/2006/relationships/hyperlink" Target="http://instagram.com/" TargetMode="External"/><Relationship Id="rId31" Type="http://schemas.openxmlformats.org/officeDocument/2006/relationships/hyperlink" Target="http://ntp.org/" TargetMode="External"/><Relationship Id="rId44" Type="http://schemas.openxmlformats.org/officeDocument/2006/relationships/hyperlink" Target="http://wordpress.com/" TargetMode="External"/><Relationship Id="rId52" Type="http://schemas.openxmlformats.org/officeDocument/2006/relationships/hyperlink" Target="http://unity3d.com/" TargetMode="External"/><Relationship Id="rId60" Type="http://schemas.openxmlformats.org/officeDocument/2006/relationships/hyperlink" Target="https://www.netify.ai/" TargetMode="External"/><Relationship Id="rId65" Type="http://schemas.openxmlformats.org/officeDocument/2006/relationships/hyperlink" Target="http://outlook.com/" TargetMode="External"/><Relationship Id="rId73" Type="http://schemas.openxmlformats.org/officeDocument/2006/relationships/hyperlink" Target="http://f5.com/" TargetMode="External"/><Relationship Id="rId78" Type="http://schemas.openxmlformats.org/officeDocument/2006/relationships/hyperlink" Target="http://merkle.io/" TargetMode="External"/><Relationship Id="rId81" Type="http://schemas.openxmlformats.org/officeDocument/2006/relationships/hyperlink" Target="http://scorecardresearch.com/" TargetMode="External"/><Relationship Id="rId86" Type="http://schemas.openxmlformats.org/officeDocument/2006/relationships/hyperlink" Target="http://legal.hubspot.com/" TargetMode="External"/><Relationship Id="rId94" Type="http://schemas.openxmlformats.org/officeDocument/2006/relationships/hyperlink" Target="http://samsungcloud.com/" TargetMode="External"/><Relationship Id="rId4" Type="http://schemas.openxmlformats.org/officeDocument/2006/relationships/hyperlink" Target="http://gtld-servers.net/" TargetMode="External"/><Relationship Id="rId9" Type="http://schemas.openxmlformats.org/officeDocument/2006/relationships/hyperlink" Target="http://dzen.ru/" TargetMode="External"/><Relationship Id="rId13" Type="http://schemas.openxmlformats.org/officeDocument/2006/relationships/hyperlink" Target="http://linkedin.com/" TargetMode="External"/><Relationship Id="rId18" Type="http://schemas.openxmlformats.org/officeDocument/2006/relationships/hyperlink" Target="http://digicert.com/" TargetMode="External"/><Relationship Id="rId39" Type="http://schemas.openxmlformats.org/officeDocument/2006/relationships/hyperlink" Target="http://nginx.org/" TargetMode="External"/><Relationship Id="rId34" Type="http://schemas.openxmlformats.org/officeDocument/2006/relationships/hyperlink" Target="http://roblox.com/" TargetMode="External"/><Relationship Id="rId50" Type="http://schemas.openxmlformats.org/officeDocument/2006/relationships/hyperlink" Target="http://mozilla.org/" TargetMode="External"/><Relationship Id="rId55" Type="http://schemas.openxmlformats.org/officeDocument/2006/relationships/hyperlink" Target="http://blogspot.com/" TargetMode="External"/><Relationship Id="rId76" Type="http://schemas.openxmlformats.org/officeDocument/2006/relationships/hyperlink" Target="http://demdex.net/" TargetMode="External"/><Relationship Id="rId97" Type="http://schemas.openxmlformats.org/officeDocument/2006/relationships/hyperlink" Target="http://slack.com/" TargetMode="External"/><Relationship Id="rId7" Type="http://schemas.openxmlformats.org/officeDocument/2006/relationships/hyperlink" Target="http://apple.com/" TargetMode="External"/><Relationship Id="rId71" Type="http://schemas.openxmlformats.org/officeDocument/2006/relationships/hyperlink" Target="http://applovin.com/" TargetMode="External"/><Relationship Id="rId92" Type="http://schemas.openxmlformats.org/officeDocument/2006/relationships/hyperlink" Target="http://mikrotik.com/" TargetMode="External"/><Relationship Id="rId2" Type="http://schemas.openxmlformats.org/officeDocument/2006/relationships/hyperlink" Target="http://mail.ru/" TargetMode="External"/><Relationship Id="rId29" Type="http://schemas.openxmlformats.org/officeDocument/2006/relationships/hyperlink" Target="http://spotify.com/" TargetMode="External"/><Relationship Id="rId24" Type="http://schemas.openxmlformats.org/officeDocument/2006/relationships/hyperlink" Target="http://e2ro.com/" TargetMode="External"/><Relationship Id="rId40" Type="http://schemas.openxmlformats.org/officeDocument/2006/relationships/hyperlink" Target="http://opera.com/" TargetMode="External"/><Relationship Id="rId45" Type="http://schemas.openxmlformats.org/officeDocument/2006/relationships/hyperlink" Target="http://intuit.com/" TargetMode="External"/><Relationship Id="rId66" Type="http://schemas.openxmlformats.org/officeDocument/2006/relationships/hyperlink" Target="http://dropbox.com/" TargetMode="External"/><Relationship Id="rId87" Type="http://schemas.openxmlformats.org/officeDocument/2006/relationships/hyperlink" Target="http://yandex.com/" TargetMode="External"/><Relationship Id="rId61" Type="http://schemas.openxmlformats.org/officeDocument/2006/relationships/hyperlink" Target="http://apache.org/" TargetMode="External"/><Relationship Id="rId82" Type="http://schemas.openxmlformats.org/officeDocument/2006/relationships/hyperlink" Target="http://imdb.com/" TargetMode="External"/><Relationship Id="rId19" Type="http://schemas.openxmlformats.org/officeDocument/2006/relationships/hyperlink" Target="http://netflix.com/" TargetMode="External"/><Relationship Id="rId14" Type="http://schemas.openxmlformats.org/officeDocument/2006/relationships/hyperlink" Target="http://amazon.com/" TargetMode="External"/><Relationship Id="rId30" Type="http://schemas.openxmlformats.org/officeDocument/2006/relationships/hyperlink" Target="http://tiktok.com/" TargetMode="External"/><Relationship Id="rId35" Type="http://schemas.openxmlformats.org/officeDocument/2006/relationships/hyperlink" Target="http://chatgpt.com/" TargetMode="External"/><Relationship Id="rId56" Type="http://schemas.openxmlformats.org/officeDocument/2006/relationships/hyperlink" Target="http://t.me/" TargetMode="External"/><Relationship Id="rId77" Type="http://schemas.openxmlformats.org/officeDocument/2006/relationships/hyperlink" Target="http://doi.org/" TargetMode="External"/><Relationship Id="rId8" Type="http://schemas.openxmlformats.org/officeDocument/2006/relationships/hyperlink" Target="http://amazonaws.com/" TargetMode="External"/><Relationship Id="rId51" Type="http://schemas.openxmlformats.org/officeDocument/2006/relationships/hyperlink" Target="http://reddit.com/" TargetMode="External"/><Relationship Id="rId72" Type="http://schemas.openxmlformats.org/officeDocument/2006/relationships/hyperlink" Target="http://tumblr.com/" TargetMode="External"/><Relationship Id="rId93" Type="http://schemas.openxmlformats.org/officeDocument/2006/relationships/hyperlink" Target="http://firebasestorage.googleapis.com/" TargetMode="External"/><Relationship Id="rId98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F5AA-6DB1-B14C-A7C4-BA825BB44BD8}">
  <dimension ref="A1:K54"/>
  <sheetViews>
    <sheetView workbookViewId="0">
      <selection activeCell="A6" sqref="A6:A55"/>
    </sheetView>
  </sheetViews>
  <sheetFormatPr baseColWidth="10" defaultColWidth="18" defaultRowHeight="16" x14ac:dyDescent="0.2"/>
  <cols>
    <col min="1" max="1" width="30.1640625" style="12" bestFit="1" customWidth="1"/>
    <col min="2" max="2" width="15" style="12" bestFit="1" customWidth="1"/>
    <col min="3" max="3" width="17.83203125" style="12" bestFit="1" customWidth="1"/>
    <col min="4" max="4" width="8.83203125" style="12" bestFit="1" customWidth="1"/>
    <col min="5" max="5" width="20" style="12" bestFit="1" customWidth="1"/>
    <col min="6" max="6" width="22.83203125" style="12" bestFit="1" customWidth="1"/>
    <col min="7" max="7" width="14.33203125" style="12" bestFit="1" customWidth="1"/>
    <col min="8" max="8" width="15.6640625" style="12" bestFit="1" customWidth="1"/>
    <col min="9" max="9" width="18.5" style="12" bestFit="1" customWidth="1"/>
    <col min="10" max="10" width="16.33203125" style="12" bestFit="1" customWidth="1"/>
    <col min="11" max="11" width="19" style="12" bestFit="1" customWidth="1"/>
    <col min="12" max="16384" width="18" style="12"/>
  </cols>
  <sheetData>
    <row r="1" spans="1:11" x14ac:dyDescent="0.2">
      <c r="B1" s="12" t="s">
        <v>286</v>
      </c>
      <c r="C1" s="12" t="s">
        <v>287</v>
      </c>
      <c r="D1" s="12" t="s">
        <v>282</v>
      </c>
      <c r="E1" s="12" t="s">
        <v>288</v>
      </c>
      <c r="F1" s="12" t="s">
        <v>289</v>
      </c>
      <c r="G1" s="12" t="s">
        <v>283</v>
      </c>
      <c r="H1" s="12" t="s">
        <v>290</v>
      </c>
      <c r="I1" s="12" t="s">
        <v>291</v>
      </c>
      <c r="J1" s="12" t="s">
        <v>292</v>
      </c>
      <c r="K1" s="12" t="s">
        <v>293</v>
      </c>
    </row>
    <row r="2" spans="1:11" x14ac:dyDescent="0.2">
      <c r="A2" s="12" t="s">
        <v>285</v>
      </c>
      <c r="B2" s="12">
        <v>22.94</v>
      </c>
      <c r="C2" s="12">
        <v>22.94</v>
      </c>
      <c r="D2" s="12">
        <v>99</v>
      </c>
      <c r="E2" s="12">
        <v>8.06</v>
      </c>
      <c r="F2" s="12">
        <v>6.11</v>
      </c>
      <c r="G2" s="12">
        <v>15</v>
      </c>
      <c r="H2" s="12">
        <v>23.17</v>
      </c>
      <c r="I2" s="12">
        <v>23.17</v>
      </c>
      <c r="J2" s="12">
        <v>53.73</v>
      </c>
      <c r="K2" s="12">
        <v>50.92</v>
      </c>
    </row>
    <row r="3" spans="1:11" x14ac:dyDescent="0.2">
      <c r="A3" s="12" t="s">
        <v>281</v>
      </c>
      <c r="B3" s="12">
        <v>5.63</v>
      </c>
      <c r="C3" s="12">
        <v>7.71</v>
      </c>
      <c r="D3" s="12">
        <v>33</v>
      </c>
      <c r="E3" s="13">
        <v>2.84</v>
      </c>
      <c r="F3" s="12">
        <v>3.68</v>
      </c>
      <c r="G3" s="12">
        <v>10</v>
      </c>
      <c r="H3" s="12">
        <v>22.52</v>
      </c>
      <c r="I3" s="12">
        <v>23.36</v>
      </c>
      <c r="J3" s="12">
        <v>28.4</v>
      </c>
      <c r="K3" s="12">
        <v>36.799999999999997</v>
      </c>
    </row>
    <row r="4" spans="1:11" x14ac:dyDescent="0.2">
      <c r="A4" s="12" t="s">
        <v>280</v>
      </c>
      <c r="E4" s="12">
        <v>3.42</v>
      </c>
      <c r="F4" s="12">
        <v>4.0199999999999996</v>
      </c>
      <c r="G4" s="12">
        <v>15</v>
      </c>
      <c r="J4" s="12">
        <v>22.8</v>
      </c>
      <c r="K4" s="12">
        <v>26.8</v>
      </c>
    </row>
    <row r="6" spans="1:11" x14ac:dyDescent="0.2">
      <c r="A6" s="15"/>
      <c r="B6" s="15"/>
    </row>
    <row r="7" spans="1:11" x14ac:dyDescent="0.2">
      <c r="A7"/>
      <c r="B7" s="15"/>
    </row>
    <row r="8" spans="1:11" x14ac:dyDescent="0.2">
      <c r="A8"/>
      <c r="B8" s="15"/>
    </row>
    <row r="9" spans="1:11" x14ac:dyDescent="0.2">
      <c r="A9"/>
      <c r="B9" s="15"/>
    </row>
    <row r="10" spans="1:11" x14ac:dyDescent="0.2">
      <c r="A10"/>
      <c r="B10" s="15"/>
    </row>
    <row r="11" spans="1:11" x14ac:dyDescent="0.2">
      <c r="A11"/>
      <c r="B11" s="15"/>
    </row>
    <row r="13" spans="1:11" x14ac:dyDescent="0.2">
      <c r="A13"/>
    </row>
    <row r="14" spans="1:11" x14ac:dyDescent="0.2">
      <c r="A14" s="15"/>
      <c r="B14" s="15"/>
      <c r="C14" s="15"/>
      <c r="D14" s="15"/>
      <c r="E14" s="15"/>
      <c r="F14" s="15"/>
      <c r="H14"/>
    </row>
    <row r="15" spans="1:11" x14ac:dyDescent="0.2">
      <c r="A15"/>
      <c r="B15"/>
      <c r="C15"/>
      <c r="D15"/>
      <c r="E15"/>
      <c r="F15"/>
    </row>
    <row r="16" spans="1:11" x14ac:dyDescent="0.2">
      <c r="A16"/>
      <c r="B16"/>
      <c r="C16"/>
      <c r="D16"/>
      <c r="E16"/>
      <c r="F16"/>
    </row>
    <row r="17" spans="1:6" x14ac:dyDescent="0.2">
      <c r="A17"/>
      <c r="B17"/>
      <c r="C17"/>
      <c r="D17"/>
      <c r="E17"/>
      <c r="F17"/>
    </row>
    <row r="18" spans="1:6" x14ac:dyDescent="0.2">
      <c r="A18"/>
      <c r="B18"/>
      <c r="C18"/>
      <c r="D18"/>
      <c r="E18"/>
      <c r="F18"/>
    </row>
    <row r="19" spans="1:6" x14ac:dyDescent="0.2">
      <c r="A19"/>
      <c r="B19"/>
      <c r="C19"/>
      <c r="D19"/>
      <c r="E19"/>
      <c r="F19"/>
    </row>
    <row r="20" spans="1:6" x14ac:dyDescent="0.2">
      <c r="A20"/>
      <c r="B20"/>
      <c r="C20"/>
      <c r="D20"/>
      <c r="E20"/>
      <c r="F20"/>
    </row>
    <row r="21" spans="1:6" x14ac:dyDescent="0.2">
      <c r="A21"/>
      <c r="B21"/>
      <c r="C21"/>
      <c r="D21"/>
      <c r="E21"/>
      <c r="F21"/>
    </row>
    <row r="22" spans="1:6" x14ac:dyDescent="0.2">
      <c r="A22"/>
      <c r="B22"/>
      <c r="C22"/>
      <c r="D22"/>
      <c r="E22"/>
      <c r="F22"/>
    </row>
    <row r="23" spans="1:6" x14ac:dyDescent="0.2">
      <c r="A23"/>
      <c r="B23"/>
      <c r="C23"/>
      <c r="D23"/>
      <c r="E23"/>
      <c r="F23"/>
    </row>
    <row r="24" spans="1:6" x14ac:dyDescent="0.2">
      <c r="A24"/>
      <c r="B24"/>
      <c r="C24"/>
      <c r="D24"/>
      <c r="E24"/>
      <c r="F24"/>
    </row>
    <row r="25" spans="1:6" x14ac:dyDescent="0.2">
      <c r="A25"/>
      <c r="B25"/>
      <c r="C25"/>
      <c r="D25"/>
      <c r="E25"/>
      <c r="F25"/>
    </row>
    <row r="26" spans="1:6" x14ac:dyDescent="0.2">
      <c r="A26"/>
      <c r="B26"/>
      <c r="C26"/>
      <c r="D26"/>
      <c r="E26"/>
      <c r="F26"/>
    </row>
    <row r="27" spans="1:6" x14ac:dyDescent="0.2">
      <c r="A27"/>
      <c r="B27"/>
      <c r="C27"/>
      <c r="D27"/>
      <c r="E27"/>
      <c r="F27"/>
    </row>
    <row r="28" spans="1:6" x14ac:dyDescent="0.2">
      <c r="A28"/>
      <c r="B28"/>
      <c r="C28"/>
      <c r="D28"/>
      <c r="E28"/>
      <c r="F28"/>
    </row>
    <row r="29" spans="1:6" x14ac:dyDescent="0.2">
      <c r="A29"/>
      <c r="B29"/>
      <c r="C29"/>
      <c r="D29"/>
      <c r="E29"/>
      <c r="F29"/>
    </row>
    <row r="32" spans="1:6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9" spans="1:5" x14ac:dyDescent="0.2">
      <c r="A49" s="15"/>
      <c r="B49" s="15"/>
      <c r="C49" s="15"/>
      <c r="D49" s="15"/>
      <c r="E49" s="15"/>
    </row>
    <row r="50" spans="1:5" x14ac:dyDescent="0.2">
      <c r="A50"/>
      <c r="B50"/>
      <c r="C50"/>
      <c r="D50"/>
      <c r="E50"/>
    </row>
    <row r="51" spans="1:5" x14ac:dyDescent="0.2">
      <c r="A51"/>
      <c r="B51"/>
      <c r="C51"/>
      <c r="D51"/>
      <c r="E51"/>
    </row>
    <row r="52" spans="1:5" x14ac:dyDescent="0.2">
      <c r="A52"/>
      <c r="B52"/>
      <c r="C52"/>
      <c r="D52"/>
      <c r="E52"/>
    </row>
    <row r="53" spans="1:5" x14ac:dyDescent="0.2">
      <c r="A53"/>
      <c r="B53"/>
      <c r="C53"/>
      <c r="D53"/>
      <c r="E53"/>
    </row>
    <row r="54" spans="1:5" x14ac:dyDescent="0.2">
      <c r="A54"/>
      <c r="B54"/>
      <c r="C54"/>
      <c r="D54"/>
      <c r="E5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0A89-7D7B-2E41-B435-6D179395735A}">
  <dimension ref="A1:E102"/>
  <sheetViews>
    <sheetView workbookViewId="0">
      <selection activeCell="E102" sqref="E102"/>
    </sheetView>
  </sheetViews>
  <sheetFormatPr baseColWidth="10" defaultRowHeight="16" x14ac:dyDescent="0.2"/>
  <cols>
    <col min="1" max="1" width="19" bestFit="1" customWidth="1"/>
    <col min="2" max="2" width="11" customWidth="1"/>
    <col min="3" max="3" width="13.6640625" bestFit="1" customWidth="1"/>
    <col min="4" max="4" width="15.83203125" bestFit="1" customWidth="1"/>
    <col min="5" max="5" width="18.5" bestFit="1" customWidth="1"/>
  </cols>
  <sheetData>
    <row r="1" spans="1:5" x14ac:dyDescent="0.2">
      <c r="A1" t="s">
        <v>274</v>
      </c>
      <c r="B1" t="s">
        <v>271</v>
      </c>
      <c r="C1" t="s">
        <v>99</v>
      </c>
      <c r="D1" t="s">
        <v>261</v>
      </c>
      <c r="E1" t="s">
        <v>262</v>
      </c>
    </row>
    <row r="2" spans="1:5" x14ac:dyDescent="0.2">
      <c r="A2" s="3" t="s">
        <v>9</v>
      </c>
      <c r="B2">
        <v>0</v>
      </c>
      <c r="C2">
        <v>0</v>
      </c>
      <c r="D2" s="5">
        <v>0</v>
      </c>
      <c r="E2">
        <v>0</v>
      </c>
    </row>
    <row r="3" spans="1:5" x14ac:dyDescent="0.2">
      <c r="A3" s="3" t="s">
        <v>77</v>
      </c>
      <c r="B3">
        <v>0</v>
      </c>
      <c r="C3">
        <v>0</v>
      </c>
      <c r="D3" s="5">
        <v>0</v>
      </c>
      <c r="E3">
        <v>0</v>
      </c>
    </row>
    <row r="4" spans="1:5" x14ac:dyDescent="0.2">
      <c r="A4" s="3" t="s">
        <v>92</v>
      </c>
      <c r="B4">
        <v>0</v>
      </c>
      <c r="C4">
        <v>0</v>
      </c>
      <c r="D4" s="5">
        <v>0</v>
      </c>
      <c r="E4">
        <v>0</v>
      </c>
    </row>
    <row r="5" spans="1:5" x14ac:dyDescent="0.2">
      <c r="A5" s="3" t="s">
        <v>60</v>
      </c>
      <c r="B5">
        <v>0</v>
      </c>
      <c r="C5">
        <v>0</v>
      </c>
      <c r="D5" s="5">
        <v>0</v>
      </c>
      <c r="E5">
        <v>2</v>
      </c>
    </row>
    <row r="6" spans="1:5" x14ac:dyDescent="0.2">
      <c r="A6" s="3" t="s">
        <v>10</v>
      </c>
      <c r="B6">
        <v>0</v>
      </c>
      <c r="C6">
        <v>0</v>
      </c>
      <c r="D6" s="5">
        <v>0</v>
      </c>
      <c r="E6">
        <v>3</v>
      </c>
    </row>
    <row r="7" spans="1:5" x14ac:dyDescent="0.2">
      <c r="A7" s="3" t="s">
        <v>21</v>
      </c>
      <c r="B7">
        <v>0</v>
      </c>
      <c r="C7">
        <v>0</v>
      </c>
      <c r="D7" s="5">
        <v>0</v>
      </c>
      <c r="E7">
        <v>3</v>
      </c>
    </row>
    <row r="8" spans="1:5" x14ac:dyDescent="0.2">
      <c r="A8" s="3" t="s">
        <v>55</v>
      </c>
      <c r="B8">
        <v>0</v>
      </c>
      <c r="C8">
        <v>0</v>
      </c>
      <c r="D8" s="5">
        <v>0</v>
      </c>
      <c r="E8">
        <v>4</v>
      </c>
    </row>
    <row r="9" spans="1:5" x14ac:dyDescent="0.2">
      <c r="A9" s="3" t="s">
        <v>13</v>
      </c>
      <c r="B9">
        <v>0</v>
      </c>
      <c r="C9">
        <v>0</v>
      </c>
      <c r="D9" s="5">
        <v>0</v>
      </c>
      <c r="E9">
        <v>6</v>
      </c>
    </row>
    <row r="10" spans="1:5" x14ac:dyDescent="0.2">
      <c r="A10" s="3" t="s">
        <v>15</v>
      </c>
      <c r="B10">
        <v>0</v>
      </c>
      <c r="C10">
        <v>0</v>
      </c>
      <c r="D10" s="5">
        <v>0</v>
      </c>
      <c r="E10">
        <v>6</v>
      </c>
    </row>
    <row r="11" spans="1:5" x14ac:dyDescent="0.2">
      <c r="A11" s="3" t="s">
        <v>28</v>
      </c>
      <c r="B11">
        <v>0</v>
      </c>
      <c r="C11">
        <v>0</v>
      </c>
      <c r="D11" s="5">
        <v>0</v>
      </c>
      <c r="E11">
        <v>6</v>
      </c>
    </row>
    <row r="12" spans="1:5" x14ac:dyDescent="0.2">
      <c r="A12" s="3" t="s">
        <v>78</v>
      </c>
      <c r="B12">
        <v>0</v>
      </c>
      <c r="C12">
        <v>0</v>
      </c>
      <c r="D12" s="5">
        <v>0</v>
      </c>
      <c r="E12">
        <v>6</v>
      </c>
    </row>
    <row r="13" spans="1:5" x14ac:dyDescent="0.2">
      <c r="A13" s="3" t="s">
        <v>19</v>
      </c>
      <c r="B13">
        <v>0</v>
      </c>
      <c r="C13">
        <v>0</v>
      </c>
      <c r="D13" s="5">
        <v>0</v>
      </c>
      <c r="E13">
        <v>7</v>
      </c>
    </row>
    <row r="14" spans="1:5" x14ac:dyDescent="0.2">
      <c r="A14" s="3" t="s">
        <v>67</v>
      </c>
      <c r="B14">
        <v>0</v>
      </c>
      <c r="C14">
        <v>0</v>
      </c>
      <c r="D14" s="5">
        <v>0</v>
      </c>
      <c r="E14">
        <v>7</v>
      </c>
    </row>
    <row r="15" spans="1:5" x14ac:dyDescent="0.2">
      <c r="A15" s="3" t="s">
        <v>4</v>
      </c>
      <c r="B15">
        <v>0</v>
      </c>
      <c r="C15">
        <v>0</v>
      </c>
      <c r="D15" s="5">
        <v>0</v>
      </c>
      <c r="E15">
        <v>8</v>
      </c>
    </row>
    <row r="16" spans="1:5" x14ac:dyDescent="0.2">
      <c r="A16" s="3" t="s">
        <v>35</v>
      </c>
      <c r="B16">
        <v>0</v>
      </c>
      <c r="C16">
        <v>0</v>
      </c>
      <c r="D16" s="5">
        <v>0</v>
      </c>
      <c r="E16">
        <v>8</v>
      </c>
    </row>
    <row r="17" spans="1:5" x14ac:dyDescent="0.2">
      <c r="A17" s="3" t="s">
        <v>18</v>
      </c>
      <c r="B17">
        <v>1</v>
      </c>
      <c r="C17">
        <v>2</v>
      </c>
      <c r="D17" s="5">
        <v>1</v>
      </c>
      <c r="E17">
        <v>0</v>
      </c>
    </row>
    <row r="18" spans="1:5" x14ac:dyDescent="0.2">
      <c r="A18" s="3" t="s">
        <v>27</v>
      </c>
      <c r="B18">
        <v>4</v>
      </c>
      <c r="C18">
        <v>5</v>
      </c>
      <c r="D18" s="5">
        <v>1</v>
      </c>
      <c r="E18">
        <v>0</v>
      </c>
    </row>
    <row r="19" spans="1:5" x14ac:dyDescent="0.2">
      <c r="A19" s="3" t="s">
        <v>61</v>
      </c>
      <c r="B19">
        <v>2</v>
      </c>
      <c r="C19">
        <v>2</v>
      </c>
      <c r="D19" s="5">
        <v>1</v>
      </c>
      <c r="E19">
        <v>3</v>
      </c>
    </row>
    <row r="20" spans="1:5" x14ac:dyDescent="0.2">
      <c r="A20" s="3" t="s">
        <v>50</v>
      </c>
      <c r="B20">
        <v>1</v>
      </c>
      <c r="C20">
        <v>1</v>
      </c>
      <c r="D20" s="5">
        <v>1</v>
      </c>
      <c r="E20">
        <v>5</v>
      </c>
    </row>
    <row r="21" spans="1:5" x14ac:dyDescent="0.2">
      <c r="A21" s="3" t="s">
        <v>57</v>
      </c>
      <c r="B21">
        <v>1</v>
      </c>
      <c r="C21">
        <v>2</v>
      </c>
      <c r="D21" s="5">
        <v>1</v>
      </c>
      <c r="E21">
        <v>5</v>
      </c>
    </row>
    <row r="22" spans="1:5" x14ac:dyDescent="0.2">
      <c r="A22" s="3" t="s">
        <v>70</v>
      </c>
      <c r="B22">
        <v>1</v>
      </c>
      <c r="C22">
        <v>2</v>
      </c>
      <c r="D22" s="5">
        <v>1</v>
      </c>
      <c r="E22">
        <v>5</v>
      </c>
    </row>
    <row r="23" spans="1:5" x14ac:dyDescent="0.2">
      <c r="A23" s="3" t="s">
        <v>82</v>
      </c>
      <c r="B23">
        <v>1</v>
      </c>
      <c r="C23">
        <v>2</v>
      </c>
      <c r="D23" s="5">
        <v>1</v>
      </c>
      <c r="E23">
        <v>5</v>
      </c>
    </row>
    <row r="24" spans="1:5" x14ac:dyDescent="0.2">
      <c r="A24" s="3" t="s">
        <v>62</v>
      </c>
      <c r="B24">
        <v>1</v>
      </c>
      <c r="C24">
        <v>3</v>
      </c>
      <c r="D24" s="5">
        <v>1</v>
      </c>
      <c r="E24">
        <v>6</v>
      </c>
    </row>
    <row r="25" spans="1:5" x14ac:dyDescent="0.2">
      <c r="A25" s="3" t="s">
        <v>22</v>
      </c>
      <c r="B25">
        <v>1</v>
      </c>
      <c r="C25">
        <v>2</v>
      </c>
      <c r="D25" s="5">
        <v>1</v>
      </c>
      <c r="E25">
        <v>7</v>
      </c>
    </row>
    <row r="26" spans="1:5" x14ac:dyDescent="0.2">
      <c r="A26" s="3" t="s">
        <v>25</v>
      </c>
      <c r="B26">
        <v>1</v>
      </c>
      <c r="C26">
        <v>2</v>
      </c>
      <c r="D26" s="5">
        <v>1</v>
      </c>
      <c r="E26">
        <v>7</v>
      </c>
    </row>
    <row r="27" spans="1:5" x14ac:dyDescent="0.2">
      <c r="A27" s="3" t="s">
        <v>33</v>
      </c>
      <c r="B27">
        <v>3</v>
      </c>
      <c r="C27">
        <v>5</v>
      </c>
      <c r="D27" s="5">
        <v>1</v>
      </c>
      <c r="E27">
        <v>8</v>
      </c>
    </row>
    <row r="28" spans="1:5" x14ac:dyDescent="0.2">
      <c r="A28" s="3" t="s">
        <v>11</v>
      </c>
      <c r="B28">
        <v>1</v>
      </c>
      <c r="C28">
        <v>2</v>
      </c>
      <c r="D28" s="5">
        <v>1</v>
      </c>
      <c r="E28">
        <v>9</v>
      </c>
    </row>
    <row r="29" spans="1:5" x14ac:dyDescent="0.2">
      <c r="A29" s="3" t="s">
        <v>37</v>
      </c>
      <c r="B29">
        <v>1</v>
      </c>
      <c r="C29">
        <v>2</v>
      </c>
      <c r="D29" s="5">
        <v>1</v>
      </c>
      <c r="E29">
        <v>9</v>
      </c>
    </row>
    <row r="30" spans="1:5" x14ac:dyDescent="0.2">
      <c r="A30" s="3" t="s">
        <v>54</v>
      </c>
      <c r="B30">
        <v>3</v>
      </c>
      <c r="C30">
        <v>0</v>
      </c>
      <c r="D30" s="5">
        <v>2</v>
      </c>
      <c r="E30">
        <v>0</v>
      </c>
    </row>
    <row r="31" spans="1:5" x14ac:dyDescent="0.2">
      <c r="A31" s="3" t="s">
        <v>75</v>
      </c>
      <c r="B31">
        <v>4</v>
      </c>
      <c r="C31">
        <v>6</v>
      </c>
      <c r="D31" s="5">
        <v>2</v>
      </c>
      <c r="E31">
        <v>0</v>
      </c>
    </row>
    <row r="32" spans="1:5" x14ac:dyDescent="0.2">
      <c r="A32" s="3" t="s">
        <v>86</v>
      </c>
      <c r="B32">
        <v>4</v>
      </c>
      <c r="C32">
        <v>6</v>
      </c>
      <c r="D32" s="5">
        <v>2</v>
      </c>
      <c r="E32">
        <v>0</v>
      </c>
    </row>
    <row r="33" spans="1:5" x14ac:dyDescent="0.2">
      <c r="A33" s="3" t="s">
        <v>49</v>
      </c>
      <c r="B33">
        <v>3</v>
      </c>
      <c r="C33">
        <v>4</v>
      </c>
      <c r="D33" s="5">
        <v>2</v>
      </c>
      <c r="E33">
        <v>2</v>
      </c>
    </row>
    <row r="34" spans="1:5" x14ac:dyDescent="0.2">
      <c r="A34" s="2" t="s">
        <v>56</v>
      </c>
      <c r="B34">
        <v>4</v>
      </c>
      <c r="C34">
        <v>5</v>
      </c>
      <c r="D34" s="5">
        <v>2</v>
      </c>
      <c r="E34">
        <v>3</v>
      </c>
    </row>
    <row r="35" spans="1:5" x14ac:dyDescent="0.2">
      <c r="A35" s="3" t="s">
        <v>74</v>
      </c>
      <c r="B35">
        <v>4</v>
      </c>
      <c r="C35">
        <v>0</v>
      </c>
      <c r="D35" s="5">
        <v>2</v>
      </c>
      <c r="E35">
        <v>4</v>
      </c>
    </row>
    <row r="36" spans="1:5" x14ac:dyDescent="0.2">
      <c r="A36" s="3" t="s">
        <v>0</v>
      </c>
      <c r="B36">
        <v>3</v>
      </c>
      <c r="C36">
        <v>12</v>
      </c>
      <c r="D36" s="5">
        <v>2</v>
      </c>
      <c r="E36">
        <v>5</v>
      </c>
    </row>
    <row r="37" spans="1:5" x14ac:dyDescent="0.2">
      <c r="A37" s="3" t="s">
        <v>94</v>
      </c>
      <c r="B37">
        <v>3</v>
      </c>
      <c r="C37">
        <v>4</v>
      </c>
      <c r="D37" s="5">
        <v>2</v>
      </c>
      <c r="E37">
        <v>6</v>
      </c>
    </row>
    <row r="38" spans="1:5" x14ac:dyDescent="0.2">
      <c r="A38" s="3" t="s">
        <v>80</v>
      </c>
      <c r="B38">
        <v>4</v>
      </c>
      <c r="C38">
        <v>7</v>
      </c>
      <c r="D38" s="5">
        <v>2</v>
      </c>
      <c r="E38">
        <v>6</v>
      </c>
    </row>
    <row r="39" spans="1:5" x14ac:dyDescent="0.2">
      <c r="A39" s="3" t="s">
        <v>47</v>
      </c>
      <c r="B39">
        <v>2</v>
      </c>
      <c r="C39">
        <v>3</v>
      </c>
      <c r="D39" s="5">
        <v>2</v>
      </c>
      <c r="E39">
        <v>8</v>
      </c>
    </row>
    <row r="40" spans="1:5" x14ac:dyDescent="0.2">
      <c r="A40" s="3" t="s">
        <v>41</v>
      </c>
      <c r="B40">
        <v>4</v>
      </c>
      <c r="C40">
        <v>5</v>
      </c>
      <c r="D40" s="5">
        <v>2</v>
      </c>
      <c r="E40">
        <v>8</v>
      </c>
    </row>
    <row r="41" spans="1:5" x14ac:dyDescent="0.2">
      <c r="A41" s="3" t="s">
        <v>52</v>
      </c>
      <c r="B41">
        <v>4</v>
      </c>
      <c r="C41">
        <v>6</v>
      </c>
      <c r="D41" s="5">
        <v>2</v>
      </c>
      <c r="E41">
        <v>9</v>
      </c>
    </row>
    <row r="42" spans="1:5" x14ac:dyDescent="0.2">
      <c r="A42" s="3" t="s">
        <v>59</v>
      </c>
      <c r="B42">
        <v>5</v>
      </c>
      <c r="C42">
        <v>6</v>
      </c>
      <c r="D42" s="5">
        <v>3</v>
      </c>
      <c r="E42">
        <v>0</v>
      </c>
    </row>
    <row r="43" spans="1:5" x14ac:dyDescent="0.2">
      <c r="A43" s="3" t="s">
        <v>3</v>
      </c>
      <c r="B43">
        <v>7</v>
      </c>
      <c r="C43">
        <v>8</v>
      </c>
      <c r="D43" s="5">
        <v>3</v>
      </c>
      <c r="E43">
        <v>0</v>
      </c>
    </row>
    <row r="44" spans="1:5" x14ac:dyDescent="0.2">
      <c r="A44" s="3" t="s">
        <v>72</v>
      </c>
      <c r="B44">
        <v>7</v>
      </c>
      <c r="C44">
        <v>9</v>
      </c>
      <c r="D44" s="5">
        <v>3</v>
      </c>
      <c r="E44">
        <v>0</v>
      </c>
    </row>
    <row r="45" spans="1:5" x14ac:dyDescent="0.2">
      <c r="A45" s="3" t="s">
        <v>91</v>
      </c>
      <c r="B45">
        <v>5</v>
      </c>
      <c r="C45">
        <v>11</v>
      </c>
      <c r="D45" s="5">
        <v>3</v>
      </c>
      <c r="E45">
        <v>0</v>
      </c>
    </row>
    <row r="46" spans="1:5" x14ac:dyDescent="0.2">
      <c r="A46" s="3" t="s">
        <v>81</v>
      </c>
      <c r="B46">
        <v>4</v>
      </c>
      <c r="C46">
        <v>6</v>
      </c>
      <c r="D46" s="5">
        <v>3</v>
      </c>
      <c r="E46">
        <v>3</v>
      </c>
    </row>
    <row r="47" spans="1:5" x14ac:dyDescent="0.2">
      <c r="A47" s="3" t="s">
        <v>24</v>
      </c>
      <c r="B47">
        <v>7</v>
      </c>
      <c r="C47">
        <v>12</v>
      </c>
      <c r="D47" s="5">
        <v>3</v>
      </c>
      <c r="E47">
        <v>3</v>
      </c>
    </row>
    <row r="48" spans="1:5" x14ac:dyDescent="0.2">
      <c r="A48" s="3" t="s">
        <v>79</v>
      </c>
      <c r="B48">
        <v>4</v>
      </c>
      <c r="C48">
        <v>6</v>
      </c>
      <c r="D48" s="5">
        <v>3</v>
      </c>
      <c r="E48">
        <v>4</v>
      </c>
    </row>
    <row r="49" spans="1:5" x14ac:dyDescent="0.2">
      <c r="A49" s="3" t="s">
        <v>40</v>
      </c>
      <c r="B49">
        <v>5</v>
      </c>
      <c r="C49">
        <v>9</v>
      </c>
      <c r="D49" s="5">
        <v>3</v>
      </c>
      <c r="E49">
        <v>4</v>
      </c>
    </row>
    <row r="50" spans="1:5" x14ac:dyDescent="0.2">
      <c r="A50" s="3" t="s">
        <v>46</v>
      </c>
      <c r="B50">
        <v>4</v>
      </c>
      <c r="C50">
        <v>9</v>
      </c>
      <c r="D50" s="5">
        <v>3</v>
      </c>
      <c r="E50">
        <v>4</v>
      </c>
    </row>
    <row r="51" spans="1:5" x14ac:dyDescent="0.2">
      <c r="A51" s="3" t="s">
        <v>51</v>
      </c>
      <c r="B51">
        <v>5</v>
      </c>
      <c r="C51">
        <v>9</v>
      </c>
      <c r="D51" s="5">
        <v>3</v>
      </c>
      <c r="E51">
        <v>4</v>
      </c>
    </row>
    <row r="52" spans="1:5" x14ac:dyDescent="0.2">
      <c r="A52" s="3" t="s">
        <v>71</v>
      </c>
      <c r="B52">
        <v>4</v>
      </c>
      <c r="C52">
        <v>5</v>
      </c>
      <c r="D52" s="5">
        <v>3</v>
      </c>
      <c r="E52">
        <v>5</v>
      </c>
    </row>
    <row r="53" spans="1:5" x14ac:dyDescent="0.2">
      <c r="A53" s="3" t="s">
        <v>58</v>
      </c>
      <c r="B53">
        <v>4</v>
      </c>
      <c r="C53">
        <v>6</v>
      </c>
      <c r="D53" s="5">
        <v>3</v>
      </c>
      <c r="E53">
        <v>5</v>
      </c>
    </row>
    <row r="54" spans="1:5" x14ac:dyDescent="0.2">
      <c r="A54" s="3" t="s">
        <v>22</v>
      </c>
      <c r="B54">
        <v>7</v>
      </c>
      <c r="C54">
        <v>11</v>
      </c>
      <c r="D54" s="5">
        <v>3</v>
      </c>
      <c r="E54">
        <v>5</v>
      </c>
    </row>
    <row r="55" spans="1:5" x14ac:dyDescent="0.2">
      <c r="A55" s="3" t="s">
        <v>95</v>
      </c>
      <c r="B55">
        <v>5</v>
      </c>
      <c r="C55">
        <v>11</v>
      </c>
      <c r="D55" s="5">
        <v>3</v>
      </c>
      <c r="E55">
        <v>5</v>
      </c>
    </row>
    <row r="56" spans="1:5" x14ac:dyDescent="0.2">
      <c r="A56" s="3" t="s">
        <v>39</v>
      </c>
      <c r="B56">
        <v>7</v>
      </c>
      <c r="C56">
        <v>15</v>
      </c>
      <c r="D56" s="5">
        <v>3</v>
      </c>
      <c r="E56">
        <v>5</v>
      </c>
    </row>
    <row r="57" spans="1:5" x14ac:dyDescent="0.2">
      <c r="A57" s="3" t="s">
        <v>30</v>
      </c>
      <c r="B57">
        <v>5</v>
      </c>
      <c r="C57">
        <v>7</v>
      </c>
      <c r="D57" s="5">
        <v>3</v>
      </c>
      <c r="E57">
        <v>6</v>
      </c>
    </row>
    <row r="58" spans="1:5" x14ac:dyDescent="0.2">
      <c r="A58" s="3" t="s">
        <v>6</v>
      </c>
      <c r="B58">
        <v>6</v>
      </c>
      <c r="C58">
        <v>8</v>
      </c>
      <c r="D58" s="5">
        <v>3</v>
      </c>
      <c r="E58">
        <v>6</v>
      </c>
    </row>
    <row r="59" spans="1:5" x14ac:dyDescent="0.2">
      <c r="A59" s="3" t="s">
        <v>43</v>
      </c>
      <c r="B59">
        <v>6</v>
      </c>
      <c r="C59">
        <v>9</v>
      </c>
      <c r="D59" s="5">
        <v>3</v>
      </c>
      <c r="E59">
        <v>6</v>
      </c>
    </row>
    <row r="60" spans="1:5" x14ac:dyDescent="0.2">
      <c r="A60" s="3" t="s">
        <v>1</v>
      </c>
      <c r="B60">
        <v>8</v>
      </c>
      <c r="C60">
        <v>11</v>
      </c>
      <c r="D60" s="5">
        <v>3</v>
      </c>
      <c r="E60">
        <v>6</v>
      </c>
    </row>
    <row r="61" spans="1:5" x14ac:dyDescent="0.2">
      <c r="A61" s="3" t="s">
        <v>44</v>
      </c>
      <c r="B61">
        <v>6</v>
      </c>
      <c r="C61">
        <v>11</v>
      </c>
      <c r="D61" s="5">
        <v>3</v>
      </c>
      <c r="E61">
        <v>6</v>
      </c>
    </row>
    <row r="62" spans="1:5" x14ac:dyDescent="0.2">
      <c r="A62" s="3" t="s">
        <v>45</v>
      </c>
      <c r="B62">
        <v>7</v>
      </c>
      <c r="C62">
        <v>11</v>
      </c>
      <c r="D62" s="5">
        <v>3</v>
      </c>
      <c r="E62">
        <v>6</v>
      </c>
    </row>
    <row r="63" spans="1:5" x14ac:dyDescent="0.2">
      <c r="A63" s="1" t="s">
        <v>96</v>
      </c>
      <c r="B63">
        <v>7</v>
      </c>
      <c r="C63">
        <v>11</v>
      </c>
      <c r="D63" s="5">
        <v>3</v>
      </c>
      <c r="E63">
        <v>6</v>
      </c>
    </row>
    <row r="64" spans="1:5" x14ac:dyDescent="0.2">
      <c r="A64" s="3" t="s">
        <v>83</v>
      </c>
      <c r="B64">
        <v>4</v>
      </c>
      <c r="C64">
        <v>5</v>
      </c>
      <c r="D64" s="5">
        <v>3</v>
      </c>
      <c r="E64">
        <v>8</v>
      </c>
    </row>
    <row r="65" spans="1:5" x14ac:dyDescent="0.2">
      <c r="A65" s="3" t="s">
        <v>31</v>
      </c>
      <c r="B65">
        <v>5</v>
      </c>
      <c r="C65">
        <v>10</v>
      </c>
      <c r="D65" s="5">
        <v>3</v>
      </c>
      <c r="E65">
        <v>8</v>
      </c>
    </row>
    <row r="66" spans="1:5" x14ac:dyDescent="0.2">
      <c r="A66" s="3" t="s">
        <v>73</v>
      </c>
      <c r="B66">
        <v>6</v>
      </c>
      <c r="C66">
        <v>0</v>
      </c>
      <c r="D66" s="5">
        <v>4</v>
      </c>
      <c r="E66">
        <v>0</v>
      </c>
    </row>
    <row r="67" spans="1:5" x14ac:dyDescent="0.2">
      <c r="A67" s="3" t="s">
        <v>76</v>
      </c>
      <c r="B67">
        <v>8</v>
      </c>
      <c r="C67">
        <v>0</v>
      </c>
      <c r="D67" s="5">
        <v>4</v>
      </c>
      <c r="E67">
        <v>0</v>
      </c>
    </row>
    <row r="68" spans="1:5" x14ac:dyDescent="0.2">
      <c r="A68" s="3" t="s">
        <v>14</v>
      </c>
      <c r="B68">
        <v>7</v>
      </c>
      <c r="C68">
        <v>9</v>
      </c>
      <c r="D68" s="5">
        <v>4</v>
      </c>
      <c r="E68">
        <v>0</v>
      </c>
    </row>
    <row r="69" spans="1:5" x14ac:dyDescent="0.2">
      <c r="A69" s="3" t="s">
        <v>8</v>
      </c>
      <c r="B69">
        <v>7</v>
      </c>
      <c r="C69">
        <v>10</v>
      </c>
      <c r="D69" s="5">
        <v>4</v>
      </c>
      <c r="E69">
        <v>0</v>
      </c>
    </row>
    <row r="70" spans="1:5" x14ac:dyDescent="0.2">
      <c r="A70" s="3" t="s">
        <v>98</v>
      </c>
      <c r="B70">
        <v>8</v>
      </c>
      <c r="C70">
        <v>11</v>
      </c>
      <c r="D70" s="5">
        <v>4</v>
      </c>
      <c r="E70">
        <v>0</v>
      </c>
    </row>
    <row r="71" spans="1:5" x14ac:dyDescent="0.2">
      <c r="A71" s="3" t="s">
        <v>20</v>
      </c>
      <c r="B71">
        <v>8</v>
      </c>
      <c r="C71">
        <v>14</v>
      </c>
      <c r="D71" s="5">
        <v>4</v>
      </c>
      <c r="E71">
        <v>0</v>
      </c>
    </row>
    <row r="72" spans="1:5" x14ac:dyDescent="0.2">
      <c r="A72" s="3" t="s">
        <v>69</v>
      </c>
      <c r="B72">
        <v>5</v>
      </c>
      <c r="C72">
        <v>9</v>
      </c>
      <c r="D72" s="5">
        <v>4</v>
      </c>
      <c r="E72">
        <v>3</v>
      </c>
    </row>
    <row r="73" spans="1:5" x14ac:dyDescent="0.2">
      <c r="A73" s="3" t="s">
        <v>93</v>
      </c>
      <c r="B73">
        <v>10</v>
      </c>
      <c r="C73">
        <v>0</v>
      </c>
      <c r="D73" s="5">
        <v>4</v>
      </c>
      <c r="E73">
        <v>4</v>
      </c>
    </row>
    <row r="74" spans="1:5" x14ac:dyDescent="0.2">
      <c r="A74" s="3" t="s">
        <v>2</v>
      </c>
      <c r="B74">
        <v>7</v>
      </c>
      <c r="C74">
        <v>9</v>
      </c>
      <c r="D74" s="5">
        <v>4</v>
      </c>
      <c r="E74">
        <v>5</v>
      </c>
    </row>
    <row r="75" spans="1:5" x14ac:dyDescent="0.2">
      <c r="A75" s="3" t="s">
        <v>23</v>
      </c>
      <c r="B75">
        <v>5</v>
      </c>
      <c r="C75">
        <v>10</v>
      </c>
      <c r="D75" s="5">
        <v>4</v>
      </c>
      <c r="E75">
        <v>5</v>
      </c>
    </row>
    <row r="76" spans="1:5" x14ac:dyDescent="0.2">
      <c r="A76" s="3" t="s">
        <v>29</v>
      </c>
      <c r="B76">
        <v>8</v>
      </c>
      <c r="C76">
        <v>10</v>
      </c>
      <c r="D76" s="5">
        <v>4</v>
      </c>
      <c r="E76">
        <v>5</v>
      </c>
    </row>
    <row r="77" spans="1:5" x14ac:dyDescent="0.2">
      <c r="A77" s="3" t="s">
        <v>63</v>
      </c>
      <c r="B77">
        <v>6</v>
      </c>
      <c r="C77">
        <v>10</v>
      </c>
      <c r="D77" s="5">
        <v>4</v>
      </c>
      <c r="E77">
        <v>6</v>
      </c>
    </row>
    <row r="78" spans="1:5" x14ac:dyDescent="0.2">
      <c r="A78" s="3" t="s">
        <v>7</v>
      </c>
      <c r="B78">
        <v>9</v>
      </c>
      <c r="C78">
        <v>12</v>
      </c>
      <c r="D78" s="5">
        <v>4</v>
      </c>
      <c r="E78">
        <v>6</v>
      </c>
    </row>
    <row r="79" spans="1:5" x14ac:dyDescent="0.2">
      <c r="A79" s="3" t="s">
        <v>97</v>
      </c>
      <c r="B79">
        <v>7</v>
      </c>
      <c r="C79">
        <v>12</v>
      </c>
      <c r="D79" s="5">
        <v>4</v>
      </c>
      <c r="E79">
        <v>6</v>
      </c>
    </row>
    <row r="80" spans="1:5" x14ac:dyDescent="0.2">
      <c r="A80" s="3" t="s">
        <v>64</v>
      </c>
      <c r="B80">
        <v>5</v>
      </c>
      <c r="C80">
        <v>8</v>
      </c>
      <c r="D80" s="5">
        <v>4</v>
      </c>
      <c r="E80">
        <v>7</v>
      </c>
    </row>
    <row r="81" spans="1:5" x14ac:dyDescent="0.2">
      <c r="A81" s="3" t="s">
        <v>87</v>
      </c>
      <c r="B81">
        <v>7</v>
      </c>
      <c r="C81">
        <v>0</v>
      </c>
      <c r="D81" s="5">
        <v>4</v>
      </c>
      <c r="E81">
        <v>8</v>
      </c>
    </row>
    <row r="82" spans="1:5" x14ac:dyDescent="0.2">
      <c r="A82" s="3" t="s">
        <v>16</v>
      </c>
      <c r="B82">
        <v>8</v>
      </c>
      <c r="C82">
        <v>10</v>
      </c>
      <c r="D82" s="5">
        <v>4</v>
      </c>
      <c r="E82">
        <v>9</v>
      </c>
    </row>
    <row r="83" spans="1:5" x14ac:dyDescent="0.2">
      <c r="A83" s="3" t="s">
        <v>66</v>
      </c>
      <c r="B83">
        <v>11</v>
      </c>
      <c r="C83">
        <v>16</v>
      </c>
      <c r="D83" s="5">
        <v>5</v>
      </c>
      <c r="E83">
        <v>0</v>
      </c>
    </row>
    <row r="84" spans="1:5" x14ac:dyDescent="0.2">
      <c r="A84" s="3" t="s">
        <v>34</v>
      </c>
      <c r="B84">
        <v>18</v>
      </c>
      <c r="C84">
        <v>22</v>
      </c>
      <c r="D84" s="5">
        <v>5</v>
      </c>
      <c r="E84">
        <v>0</v>
      </c>
    </row>
    <row r="85" spans="1:5" x14ac:dyDescent="0.2">
      <c r="A85" s="3" t="s">
        <v>26</v>
      </c>
      <c r="B85">
        <v>11</v>
      </c>
      <c r="C85">
        <v>16</v>
      </c>
      <c r="D85" s="5">
        <v>5</v>
      </c>
      <c r="E85">
        <v>3</v>
      </c>
    </row>
    <row r="86" spans="1:5" x14ac:dyDescent="0.2">
      <c r="A86" s="3" t="s">
        <v>36</v>
      </c>
      <c r="B86">
        <v>11</v>
      </c>
      <c r="C86">
        <v>17</v>
      </c>
      <c r="D86" s="5">
        <v>5</v>
      </c>
      <c r="E86">
        <v>3</v>
      </c>
    </row>
    <row r="87" spans="1:5" x14ac:dyDescent="0.2">
      <c r="A87" s="3" t="s">
        <v>42</v>
      </c>
      <c r="B87">
        <v>9</v>
      </c>
      <c r="C87">
        <v>16</v>
      </c>
      <c r="D87" s="5">
        <v>5</v>
      </c>
      <c r="E87">
        <v>5</v>
      </c>
    </row>
    <row r="88" spans="1:5" x14ac:dyDescent="0.2">
      <c r="A88" s="3" t="s">
        <v>5</v>
      </c>
      <c r="B88">
        <v>11</v>
      </c>
      <c r="C88">
        <v>17</v>
      </c>
      <c r="D88" s="5">
        <v>5</v>
      </c>
      <c r="E88">
        <v>5</v>
      </c>
    </row>
    <row r="89" spans="1:5" x14ac:dyDescent="0.2">
      <c r="A89" s="3" t="s">
        <v>90</v>
      </c>
      <c r="B89">
        <v>11</v>
      </c>
      <c r="C89">
        <v>16</v>
      </c>
      <c r="D89" s="5">
        <v>5</v>
      </c>
      <c r="E89">
        <v>6</v>
      </c>
    </row>
    <row r="90" spans="1:5" x14ac:dyDescent="0.2">
      <c r="A90" s="3" t="s">
        <v>68</v>
      </c>
      <c r="B90">
        <v>11</v>
      </c>
      <c r="C90">
        <v>15</v>
      </c>
      <c r="D90" s="5">
        <v>5</v>
      </c>
      <c r="E90">
        <v>7</v>
      </c>
    </row>
    <row r="91" spans="1:5" x14ac:dyDescent="0.2">
      <c r="A91" s="3" t="s">
        <v>84</v>
      </c>
      <c r="B91">
        <v>9</v>
      </c>
      <c r="C91">
        <v>15</v>
      </c>
      <c r="D91" s="5">
        <v>5</v>
      </c>
      <c r="E91">
        <v>7</v>
      </c>
    </row>
    <row r="92" spans="1:5" x14ac:dyDescent="0.2">
      <c r="A92" s="3" t="s">
        <v>65</v>
      </c>
      <c r="B92">
        <v>8</v>
      </c>
      <c r="C92">
        <v>10</v>
      </c>
      <c r="D92" s="5">
        <v>5</v>
      </c>
      <c r="E92">
        <v>8</v>
      </c>
    </row>
    <row r="93" spans="1:5" x14ac:dyDescent="0.2">
      <c r="A93" s="3" t="s">
        <v>88</v>
      </c>
      <c r="B93">
        <v>11</v>
      </c>
      <c r="C93">
        <v>17</v>
      </c>
      <c r="D93" s="5">
        <v>5</v>
      </c>
      <c r="E93">
        <v>9</v>
      </c>
    </row>
    <row r="94" spans="1:5" x14ac:dyDescent="0.2">
      <c r="A94" s="3" t="s">
        <v>53</v>
      </c>
      <c r="B94">
        <v>13</v>
      </c>
      <c r="C94">
        <v>16</v>
      </c>
      <c r="D94" s="5">
        <v>6</v>
      </c>
      <c r="E94">
        <v>0</v>
      </c>
    </row>
    <row r="95" spans="1:5" x14ac:dyDescent="0.2">
      <c r="A95" s="2" t="s">
        <v>32</v>
      </c>
      <c r="B95">
        <v>19</v>
      </c>
      <c r="C95">
        <v>24</v>
      </c>
      <c r="D95" s="5">
        <v>6</v>
      </c>
      <c r="E95">
        <v>3</v>
      </c>
    </row>
    <row r="96" spans="1:5" x14ac:dyDescent="0.2">
      <c r="A96" s="3" t="s">
        <v>48</v>
      </c>
      <c r="B96">
        <v>12</v>
      </c>
      <c r="C96">
        <v>14</v>
      </c>
      <c r="D96" s="5">
        <v>6</v>
      </c>
      <c r="E96">
        <v>4</v>
      </c>
    </row>
    <row r="97" spans="1:5" x14ac:dyDescent="0.2">
      <c r="A97" s="3" t="s">
        <v>85</v>
      </c>
      <c r="B97">
        <v>12</v>
      </c>
      <c r="C97">
        <v>16</v>
      </c>
      <c r="D97" s="5">
        <v>6</v>
      </c>
      <c r="E97">
        <v>4</v>
      </c>
    </row>
    <row r="98" spans="1:5" x14ac:dyDescent="0.2">
      <c r="A98" s="3" t="s">
        <v>12</v>
      </c>
      <c r="B98">
        <v>21</v>
      </c>
      <c r="C98">
        <v>22</v>
      </c>
      <c r="D98" s="5">
        <v>7</v>
      </c>
      <c r="E98">
        <v>0</v>
      </c>
    </row>
    <row r="99" spans="1:5" x14ac:dyDescent="0.2">
      <c r="A99" s="3" t="s">
        <v>17</v>
      </c>
      <c r="B99">
        <v>17</v>
      </c>
      <c r="C99">
        <v>21</v>
      </c>
      <c r="D99" s="5">
        <v>7</v>
      </c>
      <c r="E99">
        <v>3</v>
      </c>
    </row>
    <row r="100" spans="1:5" x14ac:dyDescent="0.2">
      <c r="A100" s="3" t="s">
        <v>38</v>
      </c>
      <c r="B100">
        <v>12</v>
      </c>
      <c r="C100">
        <v>16</v>
      </c>
      <c r="D100" s="5">
        <v>7</v>
      </c>
      <c r="E100">
        <v>8</v>
      </c>
    </row>
    <row r="101" spans="1:5" x14ac:dyDescent="0.2">
      <c r="A101" s="3" t="s">
        <v>89</v>
      </c>
      <c r="B101">
        <v>20</v>
      </c>
      <c r="C101">
        <v>25</v>
      </c>
      <c r="D101" s="5">
        <v>7</v>
      </c>
      <c r="E101">
        <v>8</v>
      </c>
    </row>
    <row r="102" spans="1:5" x14ac:dyDescent="0.2">
      <c r="A102" t="s">
        <v>268</v>
      </c>
      <c r="B102">
        <v>5.63</v>
      </c>
      <c r="C102">
        <v>7.71</v>
      </c>
      <c r="D102" s="5">
        <v>2.84</v>
      </c>
      <c r="E102" s="11">
        <f>SUM(E2:E101)/100</f>
        <v>4.38</v>
      </c>
    </row>
  </sheetData>
  <autoFilter ref="A1:E1" xr:uid="{FE760A89-7D7B-2E41-B435-6D179395735A}">
    <sortState xmlns:xlrd2="http://schemas.microsoft.com/office/spreadsheetml/2017/richdata2" ref="A2:E102">
      <sortCondition ref="D1:D102"/>
    </sortState>
  </autoFilter>
  <hyperlinks>
    <hyperlink ref="A36" r:id="rId1" display="http://google.com/" xr:uid="{F42B7DF5-A796-9440-8E98-359A481D896B}"/>
    <hyperlink ref="A60" r:id="rId2" display="http://mail.ru/" xr:uid="{DB2F97DB-F929-A74F-BCE2-F9AA2E5E7B37}"/>
    <hyperlink ref="A74" r:id="rId3" display="http://microsoft.com/" xr:uid="{4F8879F2-DDCD-E147-9C21-0F6814D3809C}"/>
    <hyperlink ref="A43" r:id="rId4" display="http://gtld-servers.net/" xr:uid="{1AFB3AD3-3005-2542-A5BB-B8BFDD4E75DA}"/>
    <hyperlink ref="A15" r:id="rId5" display="http://facebook.com/" xr:uid="{7FBCC618-B6CB-DA4D-B3BF-90A32260862A}"/>
    <hyperlink ref="A88" r:id="rId6" display="http://cloudflare.com/" xr:uid="{7AF76170-D68F-4245-8B1E-CE97315C4C8F}"/>
    <hyperlink ref="A58" r:id="rId7" display="http://apple.com/" xr:uid="{1AE6E21D-C496-7D48-A1CE-E20870FF069C}"/>
    <hyperlink ref="A78" r:id="rId8" display="http://amazonaws.com/" xr:uid="{74FA2CE1-9DA1-384E-9C0F-4E98CB07DBD7}"/>
    <hyperlink ref="A69" r:id="rId9" display="http://dzen.ru/" xr:uid="{ABB4F15E-D189-3F4D-9286-2021DC48B27E}"/>
    <hyperlink ref="A2" r:id="rId10" display="http://instagram.com/" xr:uid="{FF3F02E0-5CB8-2B43-B885-A70EEF8799F9}"/>
    <hyperlink ref="A6" r:id="rId11" display="http://akamai.net/" xr:uid="{42F65AA2-D98A-F94A-A07A-497CAD8D6B39}"/>
    <hyperlink ref="A28" r:id="rId12" display="http://twitter.com/" xr:uid="{8406DB6C-BDCC-F640-882A-2AE662524CE7}"/>
    <hyperlink ref="A98" r:id="rId13" display="http://linkedin.com/" xr:uid="{006F2CA5-A6A3-B145-B6BD-301B383D9612}"/>
    <hyperlink ref="A9" r:id="rId14" display="http://amazon.com/" xr:uid="{B313B5BF-DE0D-8A49-B6F3-1604E7058C27}"/>
    <hyperlink ref="A68" r:id="rId15" display="http://azure.com/" xr:uid="{4D3A4944-511C-1B46-955A-FBEE404A89F2}"/>
    <hyperlink ref="A10" r:id="rId16" display="http://wikipedia.org/" xr:uid="{57295908-B0A6-CA4A-9285-82E6860A0955}"/>
    <hyperlink ref="A82" r:id="rId17" display="http://github.com/" xr:uid="{7E98FFE0-A577-F946-9E8C-A13D3021C3B1}"/>
    <hyperlink ref="A99" r:id="rId18" display="http://digicert.com/" xr:uid="{F87C6ABE-A7E9-884B-8C4D-083EB57824AA}"/>
    <hyperlink ref="A17" r:id="rId19" display="http://netflix.com/" xr:uid="{3270815D-5D90-5043-8EC5-9AD9542D51AB}"/>
    <hyperlink ref="A13" r:id="rId20" display="http://whatsapp.net/" xr:uid="{88E1B236-7767-FC48-A4C6-E80E34F231FE}"/>
    <hyperlink ref="A71" r:id="rId21" display="http://fastly.net/" xr:uid="{D9A9E21E-DB56-6040-8461-3535CC42B554}"/>
    <hyperlink ref="A7" r:id="rId22" display="http://domaincontrol.com/godaddy.com" xr:uid="{5BE87262-289D-1143-8112-60315BD36385}"/>
    <hyperlink ref="A25" r:id="rId23" display="http://wordpress.org/" xr:uid="{CB3C1AE7-22AF-FD4A-8401-02F9D654D544}"/>
    <hyperlink ref="A75" r:id="rId24" display="http://e2ro.com/" xr:uid="{9EFD1985-9CFD-1549-81D4-5D3834572595}"/>
    <hyperlink ref="A47" r:id="rId25" display="http://appsflyersdk.com/" xr:uid="{6BF16DD0-E8D0-C147-BD1F-97C774E1782E}"/>
    <hyperlink ref="A26" r:id="rId26" display="http://pinterest.com/" xr:uid="{C0FC5FC9-A1D7-9645-87B4-89C1DF0FCD6C}"/>
    <hyperlink ref="A85" r:id="rId27" display="http://yahoo.com/" xr:uid="{D4544BEE-FFCF-FA44-9E8E-0A80DF27E42F}"/>
    <hyperlink ref="A18" r:id="rId28" display="http://gandi.net/" xr:uid="{81D9BB19-9FB1-DD4D-B7C2-5576088E7367}"/>
    <hyperlink ref="A11" r:id="rId29" display="http://spotify.com/" xr:uid="{1202C8D3-1D74-C149-B880-38729783B735}"/>
    <hyperlink ref="A76" r:id="rId30" display="http://tiktok.com/" xr:uid="{03E7839F-4EB6-7240-B22F-EB1D46C33654}"/>
    <hyperlink ref="A57" r:id="rId31" display="http://ntp.org/" xr:uid="{E1CECA7E-DBD5-E141-982A-8C8D84A3C0B5}"/>
    <hyperlink ref="A65" r:id="rId32" display="http://vimeo.com/" xr:uid="{D8538538-02D5-9E41-8D5B-D1246B8D33D0}"/>
    <hyperlink ref="A27" r:id="rId33" display="http://venmo.com/" xr:uid="{61E28601-A450-0C45-8C3D-9EBCE17E7DD1}"/>
    <hyperlink ref="A84" r:id="rId34" display="http://roblox.com/" xr:uid="{1DE5F202-ABE7-6E41-A1E5-1496FBF8CEB1}"/>
    <hyperlink ref="A16" r:id="rId35" display="http://chatgpt.com/" xr:uid="{83A078A1-CF69-4547-8E88-35FD60A4BFFD}"/>
    <hyperlink ref="A86" r:id="rId36" display="http://zoom.us/" xr:uid="{3A76F34D-BED5-DD43-9B76-3B5CB744AB6D}"/>
    <hyperlink ref="A29" r:id="rId37" display="http://nic.ru/" xr:uid="{A01B5EA9-DD44-344B-A40E-B693CE01B729}"/>
    <hyperlink ref="A100" r:id="rId38" display="http://qq.com/" xr:uid="{62A0A80D-6B30-454F-9522-1D0F17F19937}"/>
    <hyperlink ref="A56" r:id="rId39" display="http://nginx.org/" xr:uid="{3DD4615A-1E71-3743-AB80-733A29F13926}"/>
    <hyperlink ref="A49" r:id="rId40" display="http://opera.com/" xr:uid="{826E76F8-58CE-8F46-A915-656103552BE2}"/>
    <hyperlink ref="A40" r:id="rId41" display="http://baidu.com/" xr:uid="{379613D5-A99B-F349-985E-24827EDCFFE3}"/>
    <hyperlink ref="A87" r:id="rId42" display="http://samsung.com/" xr:uid="{E4D8D9A6-5F0B-7548-9980-EBE68A57B64E}"/>
    <hyperlink ref="A59" r:id="rId43" display="http://bit.ly/" xr:uid="{628F2D55-FD9B-1A4B-9E7C-E657AC715A0C}"/>
    <hyperlink ref="A54" r:id="rId44" display="http://wordpress.com/" xr:uid="{6FAAADFC-2CF5-9F47-A790-F03DEC99EC3B}"/>
    <hyperlink ref="A61" r:id="rId45" display="http://intuit.com/" xr:uid="{AC80D836-F137-8F46-B07E-75AA50F36F78}"/>
    <hyperlink ref="A62" r:id="rId46" display="http://okcdn.ru/" xr:uid="{F7BBBCE1-F669-0E45-8611-7E4A9572250D}"/>
    <hyperlink ref="A50" r:id="rId47" display="http://ui.com/" xr:uid="{81F2CECA-6D9D-C04E-888C-7F6BBB9CD0AA}"/>
    <hyperlink ref="A39" r:id="rId48" display="http://sentry.io/" xr:uid="{8F66E3F9-A0AA-BE43-BE84-CEF1B85E080C}"/>
    <hyperlink ref="A96" r:id="rId49" display="http://windows.com/" xr:uid="{B63E8D35-2F2B-3246-91D5-1C1C5655A8DA}"/>
    <hyperlink ref="A33" r:id="rId50" display="http://mozilla.org/" xr:uid="{B296E3A0-AC65-A846-B788-D7DF8EC3966F}"/>
    <hyperlink ref="A20" r:id="rId51" display="http://reddit.com/" xr:uid="{42A91AB4-7F27-2145-8466-3CD1D271F8FA}"/>
    <hyperlink ref="A51" r:id="rId52" display="http://unity3d.com/" xr:uid="{4B1C636C-7F56-EA41-9967-245B88951848}"/>
    <hyperlink ref="A94" r:id="rId53" display="http://vk.com/" xr:uid="{7B9BB7FA-C7FE-E744-9F87-882D861C01BB}"/>
    <hyperlink ref="A30" r:id="rId54" display="http://blogspot.com/" xr:uid="{E1DF5E7C-4655-8C41-B8BF-8D13DCD14520}"/>
    <hyperlink ref="A8" r:id="rId55" display="http://t.me/" xr:uid="{6DC251CE-29B6-064B-B134-2D9275A93A28}"/>
    <hyperlink ref="A21" r:id="rId56" display="http://snapchat.com/" xr:uid="{762E6A30-CCCE-604E-81B5-7C5139A4454B}"/>
    <hyperlink ref="A53" r:id="rId57" display="http://discord.gg/" xr:uid="{1F77E965-F99C-D347-AD2C-46A222BD77AC}"/>
    <hyperlink ref="A42" r:id="rId58" display="https://m365.cloud.microsoft/" xr:uid="{E8DC72F2-AE37-BF43-95D5-E0C296A20301}"/>
    <hyperlink ref="A5" r:id="rId59" display="https://www.netify.ai/" xr:uid="{51EDCDC6-340F-EC40-8308-677481EB3131}"/>
    <hyperlink ref="A19" r:id="rId60" display="http://apache.org/" xr:uid="{53D5BBB4-EB1C-3E4B-955F-1CC363948BFB}"/>
    <hyperlink ref="A24" r:id="rId61" display="http://epicgames.com/" xr:uid="{667FAEF6-1A82-144E-9F90-61483DC0482D}"/>
    <hyperlink ref="A77" r:id="rId62" display="http://trbcdn.com/" xr:uid="{251F1A3F-26C9-AB4A-B6DD-29073BF464FC}"/>
    <hyperlink ref="A80" r:id="rId63" display="http://amazonvideo.com/" xr:uid="{09BE9CAB-5306-4A48-8ACF-E30610C5212D}"/>
    <hyperlink ref="A92" r:id="rId64" display="http://outlook.com/" xr:uid="{754085CE-1A17-2F45-9EED-312F512BED82}"/>
    <hyperlink ref="A83" r:id="rId65" display="http://dropbox.com/" xr:uid="{A2227C0A-D2B6-6A4E-A791-1DD50094FF9B}"/>
    <hyperlink ref="A14" r:id="rId66" display="http://0xrpc.io/" xr:uid="{B3C08C6C-DDF8-B74C-A97E-7702C195ADFF}"/>
    <hyperlink ref="A90" r:id="rId67" display="http://criteo.com/" xr:uid="{E581384B-4210-584D-AC1F-6F0CD1A71CBA}"/>
    <hyperlink ref="A72" r:id="rId68" display="http://xiaomi.com/" xr:uid="{6241356D-C73A-E244-B9C0-E8B095599A22}"/>
    <hyperlink ref="A22" r:id="rId69" display="http://archive.org/" xr:uid="{6B2FCF31-C18B-5049-B618-1CAB8DD75794}"/>
    <hyperlink ref="A52" r:id="rId70" display="http://applovin.com/" xr:uid="{C497184F-DA89-4A43-929F-7E99BE573D67}"/>
    <hyperlink ref="A44" r:id="rId71" display="http://tumblr.com/" xr:uid="{EC461F61-DD01-9F4E-8D58-2773ED801CBE}"/>
    <hyperlink ref="A66" r:id="rId72" display="http://f5.com/" xr:uid="{44732187-A738-B740-8B36-46B529304518}"/>
    <hyperlink ref="A35" r:id="rId73" display="http://home.miui.com/" xr:uid="{8A2778AC-8377-7B41-92CC-80A55468F3C9}"/>
    <hyperlink ref="A31" r:id="rId74" display="http://cpanel.net/" xr:uid="{FA103F6D-2F23-5843-9B5C-4B2EDB678267}"/>
    <hyperlink ref="A67" r:id="rId75" display="http://demdex.net/" xr:uid="{5E4B5F19-EBA4-8447-A33D-40133D1DCB66}"/>
    <hyperlink ref="A3" r:id="rId76" display="http://doi.org/" xr:uid="{12CB2B15-6847-D043-BAF3-CDB74ABBCF65}"/>
    <hyperlink ref="A12" r:id="rId77" display="http://merkle.io/" xr:uid="{BA234AA1-0A6E-5144-9D57-BB4AB7899D31}"/>
    <hyperlink ref="A48" r:id="rId78" display="http://roku.com/" xr:uid="{0E6F3394-47B6-2A4B-AE15-FEB13C8FD8F9}"/>
    <hyperlink ref="A38" r:id="rId79" display="http://doubleverify.com/" xr:uid="{4641FEDA-F861-324A-9CDF-53F7A2F8E407}"/>
    <hyperlink ref="A46" r:id="rId80" display="http://scorecardresearch.com/" xr:uid="{D3665186-39DA-534B-98F2-313CDF76978D}"/>
    <hyperlink ref="A23" r:id="rId81" display="http://imdb.com/" xr:uid="{53B2D8FE-9EAD-7447-A69D-9603AB9518ED}"/>
    <hyperlink ref="A64" r:id="rId82" display="http://indexexchange.com/" xr:uid="{6B79D071-610B-8241-ABA6-EAB113C526FB}"/>
    <hyperlink ref="A91" r:id="rId83" display="http://linktr.ee/" xr:uid="{47BD8198-66BC-9B4F-93D7-088795431AE4}"/>
    <hyperlink ref="A97" r:id="rId84" display="http://wix.com/" xr:uid="{19FF1311-4B55-D747-BC56-FFFFEA46F362}"/>
    <hyperlink ref="A32" r:id="rId85" display="http://legal.hubspot.com/" xr:uid="{3A7128B1-1A65-304E-AD8E-AFA1751714D9}"/>
    <hyperlink ref="A81" r:id="rId86" display="http://yandex.com/" xr:uid="{C17941F2-1C4B-7F42-8B80-4B93093A1862}"/>
    <hyperlink ref="A93" r:id="rId87" display="http://salesforce.com/" xr:uid="{3A8DD75A-2B44-7749-879B-4BB3900B23C7}"/>
    <hyperlink ref="A101" r:id="rId88" display="http://hp.com/" xr:uid="{97EFD538-3A67-394F-B4B5-14D689C81D44}"/>
    <hyperlink ref="A89" r:id="rId89" display="http://stripe.com/" xr:uid="{500F34C4-1F8F-DB4D-8E4D-47EC87C5E597}"/>
    <hyperlink ref="A45" r:id="rId90" display="http://advertising.inmobi.com/" xr:uid="{E08196E8-C395-8B41-8CD8-FF65E9800616}"/>
    <hyperlink ref="A4" r:id="rId91" display="http://mikrotik.com/" xr:uid="{AECD15B5-8FEF-624D-AB79-4AE72001B04C}"/>
    <hyperlink ref="A73" r:id="rId92" display="http://firebasestorage.googleapis.com/" xr:uid="{69B8D94B-414F-3841-A4EA-1574497C48E4}"/>
    <hyperlink ref="A37" r:id="rId93" display="http://samsungcloud.com/" xr:uid="{22C3FC03-E76D-9441-8A21-B8BDFA3A08DC}"/>
    <hyperlink ref="A55" r:id="rId94" display="http://grammarly.com/" xr:uid="{08F40A64-8276-F243-9D2C-9B0C0C775ACE}"/>
    <hyperlink ref="A79" r:id="rId95" display="http://kaspersky.com/" xr:uid="{62839C39-E26B-4045-A600-4F5373804160}"/>
    <hyperlink ref="A70" r:id="rId96" display="http://slack.com/" xr:uid="{0B4E864D-9A78-264B-90CD-FCE48107C931}"/>
    <hyperlink ref="A41" r:id="rId97" display="http://paypal.com/" xr:uid="{F1A1093F-B4A8-1F42-98C5-D9A3F157E48F}"/>
  </hyperlinks>
  <pageMargins left="0.7" right="0.7" top="0.75" bottom="0.75" header="0.3" footer="0.3"/>
  <drawing r:id="rId9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DC77-4D2F-1F47-94A4-924C60B1FE47}">
  <dimension ref="A1:G106"/>
  <sheetViews>
    <sheetView topLeftCell="A3" zoomScale="170" zoomScaleNormal="170" workbookViewId="0">
      <selection activeCell="H32" sqref="H32"/>
    </sheetView>
  </sheetViews>
  <sheetFormatPr baseColWidth="10" defaultRowHeight="16" x14ac:dyDescent="0.2"/>
  <sheetData>
    <row r="1" spans="1:5" x14ac:dyDescent="0.2">
      <c r="A1" t="s">
        <v>272</v>
      </c>
      <c r="B1" t="s">
        <v>274</v>
      </c>
      <c r="C1" t="s">
        <v>273</v>
      </c>
      <c r="D1" t="s">
        <v>137</v>
      </c>
      <c r="E1" t="s">
        <v>136</v>
      </c>
    </row>
    <row r="2" spans="1:5" x14ac:dyDescent="0.2">
      <c r="A2" s="19" t="s">
        <v>255</v>
      </c>
      <c r="B2" s="3" t="s">
        <v>1</v>
      </c>
      <c r="C2">
        <v>0</v>
      </c>
      <c r="D2">
        <v>0</v>
      </c>
      <c r="E2">
        <v>0</v>
      </c>
    </row>
    <row r="3" spans="1:5" x14ac:dyDescent="0.2">
      <c r="A3" s="19"/>
      <c r="B3" s="3" t="s">
        <v>63</v>
      </c>
      <c r="C3">
        <v>0</v>
      </c>
      <c r="D3">
        <v>0</v>
      </c>
      <c r="E3">
        <v>0</v>
      </c>
    </row>
    <row r="4" spans="1:5" x14ac:dyDescent="0.2">
      <c r="A4" s="19"/>
      <c r="B4" s="3" t="s">
        <v>93</v>
      </c>
      <c r="C4">
        <v>0</v>
      </c>
      <c r="D4">
        <v>0</v>
      </c>
      <c r="E4">
        <v>0</v>
      </c>
    </row>
    <row r="5" spans="1:5" x14ac:dyDescent="0.2">
      <c r="A5" s="19"/>
      <c r="B5" s="3" t="s">
        <v>41</v>
      </c>
      <c r="C5">
        <v>1</v>
      </c>
      <c r="D5">
        <v>1</v>
      </c>
      <c r="E5">
        <v>1</v>
      </c>
    </row>
    <row r="6" spans="1:5" x14ac:dyDescent="0.2">
      <c r="A6" s="19"/>
      <c r="B6" s="3" t="s">
        <v>61</v>
      </c>
      <c r="C6">
        <v>1</v>
      </c>
      <c r="D6">
        <v>1</v>
      </c>
      <c r="E6">
        <v>1</v>
      </c>
    </row>
    <row r="7" spans="1:5" x14ac:dyDescent="0.2">
      <c r="A7" s="19"/>
      <c r="B7" s="3" t="s">
        <v>77</v>
      </c>
      <c r="C7">
        <v>3</v>
      </c>
      <c r="D7">
        <v>2</v>
      </c>
      <c r="E7">
        <v>2</v>
      </c>
    </row>
    <row r="8" spans="1:5" x14ac:dyDescent="0.2">
      <c r="A8" s="19"/>
      <c r="B8" s="3" t="s">
        <v>60</v>
      </c>
      <c r="C8">
        <v>4</v>
      </c>
      <c r="D8">
        <v>2</v>
      </c>
      <c r="E8">
        <v>2</v>
      </c>
    </row>
    <row r="9" spans="1:5" x14ac:dyDescent="0.2">
      <c r="A9" s="19"/>
      <c r="B9" s="3" t="s">
        <v>55</v>
      </c>
      <c r="C9">
        <v>5</v>
      </c>
      <c r="D9">
        <v>2</v>
      </c>
      <c r="E9">
        <v>2</v>
      </c>
    </row>
    <row r="10" spans="1:5" x14ac:dyDescent="0.2">
      <c r="A10" s="19"/>
      <c r="B10" s="3" t="s">
        <v>27</v>
      </c>
      <c r="C10">
        <v>4</v>
      </c>
      <c r="D10">
        <v>3</v>
      </c>
      <c r="E10">
        <v>2</v>
      </c>
    </row>
    <row r="11" spans="1:5" x14ac:dyDescent="0.2">
      <c r="A11" s="19"/>
      <c r="B11" s="3" t="s">
        <v>74</v>
      </c>
      <c r="C11">
        <v>4</v>
      </c>
      <c r="D11">
        <v>3</v>
      </c>
      <c r="E11">
        <v>3</v>
      </c>
    </row>
    <row r="12" spans="1:5" x14ac:dyDescent="0.2">
      <c r="A12" s="19"/>
      <c r="B12" s="3" t="s">
        <v>76</v>
      </c>
      <c r="C12">
        <v>4</v>
      </c>
      <c r="D12">
        <v>3</v>
      </c>
      <c r="E12">
        <v>3</v>
      </c>
    </row>
    <row r="13" spans="1:5" x14ac:dyDescent="0.2">
      <c r="A13" s="19"/>
      <c r="B13" s="3" t="s">
        <v>79</v>
      </c>
      <c r="C13">
        <v>4</v>
      </c>
      <c r="D13">
        <v>3</v>
      </c>
      <c r="E13">
        <v>3</v>
      </c>
    </row>
    <row r="14" spans="1:5" x14ac:dyDescent="0.2">
      <c r="A14" s="19"/>
      <c r="B14" s="3" t="s">
        <v>38</v>
      </c>
      <c r="C14">
        <v>6</v>
      </c>
      <c r="D14">
        <v>4</v>
      </c>
      <c r="E14">
        <v>4</v>
      </c>
    </row>
    <row r="15" spans="1:5" x14ac:dyDescent="0.2">
      <c r="A15" s="19"/>
      <c r="B15" s="3" t="s">
        <v>25</v>
      </c>
      <c r="C15">
        <v>7</v>
      </c>
      <c r="D15">
        <v>4</v>
      </c>
      <c r="E15">
        <v>4</v>
      </c>
    </row>
    <row r="16" spans="1:5" x14ac:dyDescent="0.2">
      <c r="A16" s="19"/>
      <c r="B16" s="3" t="s">
        <v>78</v>
      </c>
      <c r="C16">
        <v>7</v>
      </c>
      <c r="D16">
        <v>5</v>
      </c>
      <c r="E16">
        <v>5</v>
      </c>
    </row>
    <row r="17" spans="1:5" x14ac:dyDescent="0.2">
      <c r="A17" s="19"/>
      <c r="B17" s="3" t="s">
        <v>18</v>
      </c>
      <c r="C17">
        <v>8</v>
      </c>
      <c r="D17">
        <v>5</v>
      </c>
      <c r="E17">
        <v>4</v>
      </c>
    </row>
    <row r="18" spans="1:5" x14ac:dyDescent="0.2">
      <c r="A18" s="19"/>
      <c r="B18" s="3" t="s">
        <v>19</v>
      </c>
      <c r="C18">
        <v>8</v>
      </c>
      <c r="D18">
        <v>5</v>
      </c>
      <c r="E18">
        <v>5</v>
      </c>
    </row>
    <row r="19" spans="1:5" x14ac:dyDescent="0.2">
      <c r="A19" s="19"/>
      <c r="B19" s="3" t="s">
        <v>46</v>
      </c>
      <c r="C19">
        <v>8</v>
      </c>
      <c r="D19">
        <v>5</v>
      </c>
      <c r="E19">
        <v>4</v>
      </c>
    </row>
    <row r="20" spans="1:5" x14ac:dyDescent="0.2">
      <c r="A20" s="19"/>
      <c r="B20" s="3" t="s">
        <v>87</v>
      </c>
      <c r="C20">
        <v>8</v>
      </c>
      <c r="D20">
        <v>5</v>
      </c>
      <c r="E20">
        <v>5</v>
      </c>
    </row>
    <row r="21" spans="1:5" x14ac:dyDescent="0.2">
      <c r="A21" s="19"/>
      <c r="B21" s="3" t="s">
        <v>47</v>
      </c>
      <c r="C21">
        <v>9</v>
      </c>
      <c r="D21">
        <v>5</v>
      </c>
      <c r="E21">
        <v>5</v>
      </c>
    </row>
    <row r="22" spans="1:5" x14ac:dyDescent="0.2">
      <c r="A22" s="19"/>
      <c r="B22" s="3" t="s">
        <v>81</v>
      </c>
      <c r="C22">
        <v>9</v>
      </c>
      <c r="D22">
        <v>5</v>
      </c>
      <c r="E22">
        <v>3</v>
      </c>
    </row>
    <row r="23" spans="1:5" x14ac:dyDescent="0.2">
      <c r="A23" s="19"/>
      <c r="B23" s="3" t="s">
        <v>2</v>
      </c>
      <c r="C23">
        <v>10</v>
      </c>
      <c r="D23">
        <v>5</v>
      </c>
      <c r="E23">
        <v>5</v>
      </c>
    </row>
    <row r="24" spans="1:5" x14ac:dyDescent="0.2">
      <c r="A24" s="19"/>
      <c r="B24" s="3" t="s">
        <v>82</v>
      </c>
      <c r="C24">
        <v>11</v>
      </c>
      <c r="D24">
        <v>5</v>
      </c>
      <c r="E24">
        <v>5</v>
      </c>
    </row>
    <row r="25" spans="1:5" x14ac:dyDescent="0.2">
      <c r="A25" s="19"/>
      <c r="B25" s="3" t="s">
        <v>11</v>
      </c>
      <c r="C25">
        <v>14</v>
      </c>
      <c r="D25">
        <v>5</v>
      </c>
      <c r="E25">
        <v>5</v>
      </c>
    </row>
    <row r="26" spans="1:5" x14ac:dyDescent="0.2">
      <c r="A26" s="19"/>
      <c r="B26" s="3" t="s">
        <v>31</v>
      </c>
      <c r="C26">
        <v>7</v>
      </c>
      <c r="D26">
        <v>6</v>
      </c>
      <c r="E26">
        <v>5</v>
      </c>
    </row>
    <row r="27" spans="1:5" x14ac:dyDescent="0.2">
      <c r="A27" s="19"/>
      <c r="B27" s="3" t="s">
        <v>3</v>
      </c>
      <c r="C27">
        <v>10</v>
      </c>
      <c r="D27">
        <v>6</v>
      </c>
      <c r="E27">
        <v>3</v>
      </c>
    </row>
    <row r="28" spans="1:5" x14ac:dyDescent="0.2">
      <c r="A28" s="19"/>
      <c r="B28" s="3" t="s">
        <v>15</v>
      </c>
      <c r="C28">
        <v>10</v>
      </c>
      <c r="D28">
        <v>6</v>
      </c>
      <c r="E28">
        <v>5</v>
      </c>
    </row>
    <row r="29" spans="1:5" x14ac:dyDescent="0.2">
      <c r="A29" s="19"/>
      <c r="B29" s="3" t="s">
        <v>34</v>
      </c>
      <c r="C29">
        <v>10</v>
      </c>
      <c r="D29">
        <v>6</v>
      </c>
      <c r="E29">
        <v>4</v>
      </c>
    </row>
    <row r="30" spans="1:5" x14ac:dyDescent="0.2">
      <c r="A30" s="19"/>
      <c r="B30" s="3" t="s">
        <v>72</v>
      </c>
      <c r="C30">
        <v>10</v>
      </c>
      <c r="D30">
        <v>6</v>
      </c>
      <c r="E30">
        <v>5</v>
      </c>
    </row>
    <row r="31" spans="1:5" x14ac:dyDescent="0.2">
      <c r="A31" s="19"/>
      <c r="B31" s="3" t="s">
        <v>88</v>
      </c>
      <c r="C31">
        <v>10</v>
      </c>
      <c r="D31">
        <v>6</v>
      </c>
      <c r="E31">
        <v>4</v>
      </c>
    </row>
    <row r="32" spans="1:5" x14ac:dyDescent="0.2">
      <c r="A32" s="19"/>
      <c r="B32" s="3" t="s">
        <v>67</v>
      </c>
      <c r="C32">
        <v>11</v>
      </c>
      <c r="D32">
        <v>6</v>
      </c>
      <c r="E32">
        <v>4</v>
      </c>
    </row>
    <row r="33" spans="1:5" x14ac:dyDescent="0.2">
      <c r="A33" s="19"/>
      <c r="B33" s="3" t="s">
        <v>92</v>
      </c>
      <c r="C33">
        <v>11</v>
      </c>
      <c r="D33">
        <v>6</v>
      </c>
      <c r="E33">
        <v>5</v>
      </c>
    </row>
    <row r="34" spans="1:5" x14ac:dyDescent="0.2">
      <c r="A34" s="19"/>
      <c r="B34" s="3" t="s">
        <v>16</v>
      </c>
      <c r="C34">
        <v>15</v>
      </c>
      <c r="D34">
        <v>6</v>
      </c>
      <c r="E34">
        <v>4</v>
      </c>
    </row>
    <row r="35" spans="1:5" x14ac:dyDescent="0.2">
      <c r="A35" s="19"/>
      <c r="B35" s="3" t="s">
        <v>40</v>
      </c>
      <c r="C35">
        <v>10</v>
      </c>
      <c r="D35">
        <v>7</v>
      </c>
      <c r="E35">
        <v>5</v>
      </c>
    </row>
    <row r="36" spans="1:5" x14ac:dyDescent="0.2">
      <c r="A36" s="19"/>
      <c r="B36" s="3" t="s">
        <v>8</v>
      </c>
      <c r="C36">
        <v>11</v>
      </c>
      <c r="D36">
        <v>7</v>
      </c>
      <c r="E36">
        <v>6</v>
      </c>
    </row>
    <row r="37" spans="1:5" x14ac:dyDescent="0.2">
      <c r="A37" s="19"/>
      <c r="B37" s="3" t="s">
        <v>70</v>
      </c>
      <c r="C37">
        <v>13</v>
      </c>
      <c r="D37">
        <v>7</v>
      </c>
      <c r="E37">
        <v>5</v>
      </c>
    </row>
    <row r="38" spans="1:5" x14ac:dyDescent="0.2">
      <c r="A38" s="19"/>
      <c r="B38" s="3" t="s">
        <v>5</v>
      </c>
      <c r="C38">
        <v>14</v>
      </c>
      <c r="D38">
        <v>7</v>
      </c>
      <c r="E38">
        <v>4</v>
      </c>
    </row>
    <row r="39" spans="1:5" x14ac:dyDescent="0.2">
      <c r="A39" s="19"/>
      <c r="B39" s="3" t="s">
        <v>83</v>
      </c>
      <c r="C39">
        <v>14</v>
      </c>
      <c r="D39">
        <v>7</v>
      </c>
      <c r="E39">
        <v>4</v>
      </c>
    </row>
    <row r="40" spans="1:5" x14ac:dyDescent="0.2">
      <c r="A40" s="19"/>
      <c r="B40" s="3" t="s">
        <v>29</v>
      </c>
      <c r="C40">
        <v>15</v>
      </c>
      <c r="D40">
        <v>7</v>
      </c>
      <c r="E40">
        <v>5</v>
      </c>
    </row>
    <row r="41" spans="1:5" x14ac:dyDescent="0.2">
      <c r="A41" s="19"/>
      <c r="B41" s="3" t="s">
        <v>22</v>
      </c>
      <c r="C41">
        <v>15</v>
      </c>
      <c r="D41">
        <v>7</v>
      </c>
      <c r="E41">
        <v>7</v>
      </c>
    </row>
    <row r="42" spans="1:5" x14ac:dyDescent="0.2">
      <c r="A42" s="19"/>
      <c r="B42" s="3" t="s">
        <v>57</v>
      </c>
      <c r="C42">
        <v>15</v>
      </c>
      <c r="D42">
        <v>7</v>
      </c>
      <c r="E42">
        <v>5</v>
      </c>
    </row>
    <row r="43" spans="1:5" x14ac:dyDescent="0.2">
      <c r="A43" s="19"/>
      <c r="B43" s="3" t="s">
        <v>65</v>
      </c>
      <c r="C43">
        <v>17</v>
      </c>
      <c r="D43">
        <v>7</v>
      </c>
      <c r="E43">
        <v>5</v>
      </c>
    </row>
    <row r="44" spans="1:5" x14ac:dyDescent="0.2">
      <c r="A44" s="19"/>
      <c r="B44" s="3" t="s">
        <v>22</v>
      </c>
      <c r="C44">
        <v>14</v>
      </c>
      <c r="D44">
        <v>8</v>
      </c>
      <c r="E44">
        <v>7</v>
      </c>
    </row>
    <row r="45" spans="1:5" x14ac:dyDescent="0.2">
      <c r="A45" s="19"/>
      <c r="B45" s="2" t="s">
        <v>56</v>
      </c>
      <c r="C45">
        <v>14</v>
      </c>
      <c r="D45">
        <v>8</v>
      </c>
      <c r="E45">
        <v>5</v>
      </c>
    </row>
    <row r="46" spans="1:5" x14ac:dyDescent="0.2">
      <c r="A46" s="19"/>
      <c r="B46" s="3" t="s">
        <v>49</v>
      </c>
      <c r="C46">
        <v>16</v>
      </c>
      <c r="D46">
        <v>8</v>
      </c>
      <c r="E46">
        <v>5</v>
      </c>
    </row>
    <row r="47" spans="1:5" x14ac:dyDescent="0.2">
      <c r="A47" s="19"/>
      <c r="B47" s="3" t="s">
        <v>6</v>
      </c>
      <c r="C47">
        <v>18</v>
      </c>
      <c r="D47">
        <v>8</v>
      </c>
      <c r="E47">
        <v>6</v>
      </c>
    </row>
    <row r="48" spans="1:5" x14ac:dyDescent="0.2">
      <c r="A48" s="19"/>
      <c r="B48" s="3" t="s">
        <v>26</v>
      </c>
      <c r="C48">
        <v>19</v>
      </c>
      <c r="D48">
        <v>8</v>
      </c>
      <c r="E48">
        <v>6</v>
      </c>
    </row>
    <row r="49" spans="1:5" x14ac:dyDescent="0.2">
      <c r="A49" s="19"/>
      <c r="B49" s="3" t="s">
        <v>52</v>
      </c>
      <c r="C49">
        <v>19</v>
      </c>
      <c r="D49">
        <v>8</v>
      </c>
      <c r="E49">
        <v>5</v>
      </c>
    </row>
    <row r="50" spans="1:5" x14ac:dyDescent="0.2">
      <c r="A50" s="19"/>
      <c r="B50" s="3" t="s">
        <v>39</v>
      </c>
      <c r="C50">
        <v>15</v>
      </c>
      <c r="D50">
        <v>9</v>
      </c>
      <c r="E50">
        <v>7</v>
      </c>
    </row>
    <row r="51" spans="1:5" x14ac:dyDescent="0.2">
      <c r="A51" s="19"/>
      <c r="B51" s="3" t="s">
        <v>58</v>
      </c>
      <c r="C51">
        <v>17</v>
      </c>
      <c r="D51">
        <v>9</v>
      </c>
      <c r="E51">
        <v>6</v>
      </c>
    </row>
    <row r="52" spans="1:5" x14ac:dyDescent="0.2">
      <c r="A52" s="19"/>
      <c r="B52" s="3" t="s">
        <v>33</v>
      </c>
      <c r="C52">
        <v>19</v>
      </c>
      <c r="D52">
        <v>9</v>
      </c>
      <c r="E52">
        <v>6</v>
      </c>
    </row>
    <row r="53" spans="1:5" x14ac:dyDescent="0.2">
      <c r="A53" s="19"/>
      <c r="B53" s="3" t="s">
        <v>23</v>
      </c>
      <c r="C53">
        <v>20</v>
      </c>
      <c r="D53">
        <v>9</v>
      </c>
      <c r="E53">
        <v>6</v>
      </c>
    </row>
    <row r="54" spans="1:5" x14ac:dyDescent="0.2">
      <c r="A54" s="19"/>
      <c r="B54" s="3" t="s">
        <v>54</v>
      </c>
      <c r="C54">
        <v>20</v>
      </c>
      <c r="D54">
        <v>9</v>
      </c>
      <c r="E54">
        <v>6</v>
      </c>
    </row>
    <row r="55" spans="1:5" x14ac:dyDescent="0.2">
      <c r="A55" s="19"/>
      <c r="B55" s="3" t="s">
        <v>69</v>
      </c>
      <c r="C55">
        <v>21</v>
      </c>
      <c r="D55">
        <v>9</v>
      </c>
      <c r="E55">
        <v>8</v>
      </c>
    </row>
    <row r="56" spans="1:5" x14ac:dyDescent="0.2">
      <c r="A56" s="19"/>
      <c r="B56" s="3" t="s">
        <v>36</v>
      </c>
      <c r="C56">
        <v>22</v>
      </c>
      <c r="D56">
        <v>9</v>
      </c>
      <c r="E56">
        <v>6</v>
      </c>
    </row>
    <row r="57" spans="1:5" x14ac:dyDescent="0.2">
      <c r="A57" s="19"/>
      <c r="B57" s="3" t="s">
        <v>7</v>
      </c>
      <c r="C57">
        <v>24</v>
      </c>
      <c r="D57">
        <v>9</v>
      </c>
      <c r="E57">
        <v>6</v>
      </c>
    </row>
    <row r="58" spans="1:5" x14ac:dyDescent="0.2">
      <c r="A58" s="19"/>
      <c r="B58" s="3" t="s">
        <v>30</v>
      </c>
      <c r="C58">
        <v>22</v>
      </c>
      <c r="D58">
        <v>10</v>
      </c>
      <c r="E58">
        <v>8</v>
      </c>
    </row>
    <row r="59" spans="1:5" x14ac:dyDescent="0.2">
      <c r="A59" s="19" t="s">
        <v>256</v>
      </c>
      <c r="B59" s="3" t="s">
        <v>4</v>
      </c>
      <c r="C59">
        <v>13</v>
      </c>
      <c r="D59">
        <v>7</v>
      </c>
      <c r="E59">
        <v>7</v>
      </c>
    </row>
    <row r="60" spans="1:5" x14ac:dyDescent="0.2">
      <c r="A60" s="19"/>
      <c r="B60" s="3" t="s">
        <v>9</v>
      </c>
      <c r="C60">
        <v>14</v>
      </c>
      <c r="D60">
        <v>7</v>
      </c>
      <c r="E60">
        <v>7</v>
      </c>
    </row>
    <row r="61" spans="1:5" x14ac:dyDescent="0.2">
      <c r="A61" s="19"/>
      <c r="B61" s="3" t="s">
        <v>28</v>
      </c>
      <c r="C61">
        <v>20</v>
      </c>
      <c r="D61">
        <v>8</v>
      </c>
      <c r="E61">
        <v>5</v>
      </c>
    </row>
    <row r="62" spans="1:5" x14ac:dyDescent="0.2">
      <c r="A62" s="19"/>
      <c r="B62" s="3" t="s">
        <v>17</v>
      </c>
      <c r="C62">
        <v>19</v>
      </c>
      <c r="D62">
        <v>9</v>
      </c>
      <c r="E62">
        <v>5</v>
      </c>
    </row>
    <row r="63" spans="1:5" x14ac:dyDescent="0.2">
      <c r="A63" s="19"/>
      <c r="B63" s="3" t="s">
        <v>59</v>
      </c>
      <c r="C63">
        <v>24</v>
      </c>
      <c r="D63">
        <v>9</v>
      </c>
      <c r="E63">
        <v>6</v>
      </c>
    </row>
    <row r="64" spans="1:5" x14ac:dyDescent="0.2">
      <c r="A64" s="19"/>
      <c r="B64" s="3" t="s">
        <v>64</v>
      </c>
      <c r="C64">
        <v>24</v>
      </c>
      <c r="D64">
        <v>9</v>
      </c>
      <c r="E64">
        <v>6</v>
      </c>
    </row>
    <row r="65" spans="1:5" x14ac:dyDescent="0.2">
      <c r="A65" s="19"/>
      <c r="B65" s="3" t="s">
        <v>68</v>
      </c>
      <c r="C65">
        <v>27</v>
      </c>
      <c r="D65">
        <v>9</v>
      </c>
      <c r="E65">
        <v>6</v>
      </c>
    </row>
    <row r="66" spans="1:5" x14ac:dyDescent="0.2">
      <c r="A66" s="19"/>
      <c r="B66" s="3" t="s">
        <v>97</v>
      </c>
      <c r="C66">
        <v>24</v>
      </c>
      <c r="D66">
        <v>10</v>
      </c>
      <c r="E66">
        <v>6</v>
      </c>
    </row>
    <row r="67" spans="1:5" x14ac:dyDescent="0.2">
      <c r="A67" s="19"/>
      <c r="B67" s="3" t="s">
        <v>44</v>
      </c>
      <c r="C67">
        <v>25</v>
      </c>
      <c r="D67">
        <v>10</v>
      </c>
      <c r="E67">
        <v>6</v>
      </c>
    </row>
    <row r="68" spans="1:5" x14ac:dyDescent="0.2">
      <c r="A68" s="19"/>
      <c r="B68" s="3" t="s">
        <v>90</v>
      </c>
      <c r="C68">
        <v>25</v>
      </c>
      <c r="D68">
        <v>10</v>
      </c>
      <c r="E68">
        <v>6</v>
      </c>
    </row>
    <row r="69" spans="1:5" x14ac:dyDescent="0.2">
      <c r="A69" s="19"/>
      <c r="B69" s="3" t="s">
        <v>95</v>
      </c>
      <c r="C69">
        <v>25</v>
      </c>
      <c r="D69">
        <v>10</v>
      </c>
      <c r="E69">
        <v>6</v>
      </c>
    </row>
    <row r="70" spans="1:5" x14ac:dyDescent="0.2">
      <c r="A70" s="19"/>
      <c r="B70" s="3" t="s">
        <v>20</v>
      </c>
      <c r="C70">
        <v>27</v>
      </c>
      <c r="D70">
        <v>10</v>
      </c>
      <c r="E70">
        <v>6</v>
      </c>
    </row>
    <row r="71" spans="1:5" x14ac:dyDescent="0.2">
      <c r="A71" s="19"/>
      <c r="B71" s="3" t="s">
        <v>51</v>
      </c>
      <c r="C71">
        <v>28</v>
      </c>
      <c r="D71">
        <v>10</v>
      </c>
      <c r="E71">
        <v>6</v>
      </c>
    </row>
    <row r="72" spans="1:5" x14ac:dyDescent="0.2">
      <c r="A72" s="19"/>
      <c r="B72" s="3" t="s">
        <v>66</v>
      </c>
      <c r="C72">
        <v>28</v>
      </c>
      <c r="D72">
        <v>10</v>
      </c>
      <c r="E72">
        <v>6</v>
      </c>
    </row>
    <row r="73" spans="1:5" x14ac:dyDescent="0.2">
      <c r="A73" s="19"/>
      <c r="B73" s="3" t="s">
        <v>85</v>
      </c>
      <c r="C73">
        <v>30</v>
      </c>
      <c r="D73">
        <v>10</v>
      </c>
      <c r="E73">
        <v>6</v>
      </c>
    </row>
    <row r="74" spans="1:5" x14ac:dyDescent="0.2">
      <c r="A74" s="19"/>
      <c r="B74" s="3" t="s">
        <v>42</v>
      </c>
      <c r="C74">
        <v>31</v>
      </c>
      <c r="D74">
        <v>10</v>
      </c>
      <c r="E74">
        <v>6</v>
      </c>
    </row>
    <row r="75" spans="1:5" x14ac:dyDescent="0.2">
      <c r="A75" s="19"/>
      <c r="B75" s="3" t="s">
        <v>14</v>
      </c>
      <c r="C75">
        <v>31</v>
      </c>
      <c r="D75">
        <v>11</v>
      </c>
      <c r="E75">
        <v>8</v>
      </c>
    </row>
    <row r="76" spans="1:5" x14ac:dyDescent="0.2">
      <c r="A76" s="19"/>
      <c r="B76" s="3" t="s">
        <v>48</v>
      </c>
      <c r="C76">
        <v>32</v>
      </c>
      <c r="D76">
        <v>11</v>
      </c>
      <c r="E76">
        <v>8</v>
      </c>
    </row>
    <row r="77" spans="1:5" x14ac:dyDescent="0.2">
      <c r="A77" s="19"/>
      <c r="B77" s="3" t="s">
        <v>24</v>
      </c>
      <c r="C77">
        <v>36</v>
      </c>
      <c r="D77">
        <v>11</v>
      </c>
      <c r="E77">
        <v>9</v>
      </c>
    </row>
    <row r="78" spans="1:5" x14ac:dyDescent="0.2">
      <c r="A78" s="19" t="s">
        <v>257</v>
      </c>
      <c r="B78" s="3" t="s">
        <v>35</v>
      </c>
      <c r="C78">
        <v>31</v>
      </c>
      <c r="D78">
        <v>10</v>
      </c>
      <c r="E78">
        <v>6</v>
      </c>
    </row>
    <row r="79" spans="1:5" x14ac:dyDescent="0.2">
      <c r="A79" s="19"/>
      <c r="B79" s="3" t="s">
        <v>62</v>
      </c>
      <c r="C79">
        <v>32</v>
      </c>
      <c r="D79">
        <v>10</v>
      </c>
      <c r="E79">
        <v>6</v>
      </c>
    </row>
    <row r="80" spans="1:5" x14ac:dyDescent="0.2">
      <c r="A80" s="19"/>
      <c r="B80" s="3" t="s">
        <v>13</v>
      </c>
      <c r="C80">
        <v>38</v>
      </c>
      <c r="D80">
        <v>11</v>
      </c>
      <c r="E80">
        <v>8</v>
      </c>
    </row>
    <row r="81" spans="1:5" x14ac:dyDescent="0.2">
      <c r="A81" s="19" t="s">
        <v>254</v>
      </c>
      <c r="B81" s="3" t="s">
        <v>10</v>
      </c>
      <c r="C81">
        <v>35</v>
      </c>
      <c r="D81">
        <v>11</v>
      </c>
      <c r="E81">
        <v>8</v>
      </c>
    </row>
    <row r="82" spans="1:5" x14ac:dyDescent="0.2">
      <c r="A82" s="19"/>
      <c r="B82" s="3" t="s">
        <v>12</v>
      </c>
      <c r="C82">
        <v>40</v>
      </c>
      <c r="D82">
        <v>12</v>
      </c>
      <c r="E82">
        <v>11</v>
      </c>
    </row>
    <row r="83" spans="1:5" x14ac:dyDescent="0.2">
      <c r="A83" s="19"/>
      <c r="B83" s="3" t="s">
        <v>98</v>
      </c>
      <c r="C83">
        <v>40</v>
      </c>
      <c r="D83">
        <v>13</v>
      </c>
      <c r="E83">
        <v>11</v>
      </c>
    </row>
    <row r="84" spans="1:5" x14ac:dyDescent="0.2">
      <c r="A84" s="19"/>
      <c r="B84" s="3" t="s">
        <v>0</v>
      </c>
      <c r="C84">
        <v>42</v>
      </c>
      <c r="D84">
        <v>13</v>
      </c>
      <c r="E84">
        <v>11</v>
      </c>
    </row>
    <row r="85" spans="1:5" x14ac:dyDescent="0.2">
      <c r="A85" s="19" t="s">
        <v>258</v>
      </c>
      <c r="B85" s="3" t="s">
        <v>94</v>
      </c>
      <c r="C85">
        <v>45</v>
      </c>
      <c r="D85">
        <v>11</v>
      </c>
      <c r="E85">
        <v>9</v>
      </c>
    </row>
    <row r="86" spans="1:5" x14ac:dyDescent="0.2">
      <c r="A86" s="19"/>
      <c r="B86" s="2" t="s">
        <v>32</v>
      </c>
      <c r="C86">
        <v>40</v>
      </c>
      <c r="D86">
        <v>12</v>
      </c>
      <c r="E86">
        <v>9</v>
      </c>
    </row>
    <row r="87" spans="1:5" x14ac:dyDescent="0.2">
      <c r="A87" s="19"/>
      <c r="B87" s="3" t="s">
        <v>86</v>
      </c>
      <c r="C87">
        <v>51</v>
      </c>
      <c r="D87">
        <v>12</v>
      </c>
      <c r="E87">
        <v>10</v>
      </c>
    </row>
    <row r="88" spans="1:5" x14ac:dyDescent="0.2">
      <c r="A88" s="19"/>
      <c r="B88" s="3" t="s">
        <v>89</v>
      </c>
      <c r="C88">
        <v>49</v>
      </c>
      <c r="D88">
        <v>13</v>
      </c>
      <c r="E88">
        <v>10</v>
      </c>
    </row>
    <row r="89" spans="1:5" x14ac:dyDescent="0.2">
      <c r="A89" s="19"/>
      <c r="B89" s="3" t="s">
        <v>37</v>
      </c>
      <c r="C89">
        <v>50</v>
      </c>
      <c r="D89">
        <v>13</v>
      </c>
      <c r="E89">
        <v>10</v>
      </c>
    </row>
    <row r="90" spans="1:5" x14ac:dyDescent="0.2">
      <c r="A90" s="19"/>
      <c r="B90" s="3" t="s">
        <v>91</v>
      </c>
      <c r="C90">
        <v>52</v>
      </c>
      <c r="D90">
        <v>13</v>
      </c>
      <c r="E90">
        <v>10</v>
      </c>
    </row>
    <row r="91" spans="1:5" x14ac:dyDescent="0.2">
      <c r="A91" s="19"/>
      <c r="B91" s="3" t="s">
        <v>43</v>
      </c>
      <c r="C91">
        <v>53</v>
      </c>
      <c r="D91">
        <v>13</v>
      </c>
      <c r="E91">
        <v>10</v>
      </c>
    </row>
    <row r="92" spans="1:5" x14ac:dyDescent="0.2">
      <c r="A92" s="19"/>
      <c r="B92" s="3" t="s">
        <v>71</v>
      </c>
      <c r="C92">
        <v>53</v>
      </c>
      <c r="D92">
        <v>13</v>
      </c>
      <c r="E92">
        <v>10</v>
      </c>
    </row>
    <row r="93" spans="1:5" x14ac:dyDescent="0.2">
      <c r="A93" s="19"/>
      <c r="B93" s="3" t="s">
        <v>80</v>
      </c>
      <c r="C93">
        <v>54</v>
      </c>
      <c r="D93">
        <v>13</v>
      </c>
      <c r="E93">
        <v>10</v>
      </c>
    </row>
    <row r="94" spans="1:5" x14ac:dyDescent="0.2">
      <c r="A94" s="19"/>
      <c r="B94" s="3" t="s">
        <v>50</v>
      </c>
      <c r="C94">
        <v>53</v>
      </c>
      <c r="D94">
        <v>13</v>
      </c>
      <c r="E94">
        <v>11</v>
      </c>
    </row>
    <row r="95" spans="1:5" x14ac:dyDescent="0.2">
      <c r="A95" s="19"/>
      <c r="B95" s="3" t="s">
        <v>73</v>
      </c>
      <c r="C95">
        <v>56</v>
      </c>
      <c r="D95">
        <v>13</v>
      </c>
      <c r="E95">
        <v>11</v>
      </c>
    </row>
    <row r="96" spans="1:5" x14ac:dyDescent="0.2">
      <c r="A96" s="19"/>
      <c r="B96" s="3" t="s">
        <v>84</v>
      </c>
      <c r="C96">
        <v>59</v>
      </c>
      <c r="D96">
        <v>13</v>
      </c>
      <c r="E96">
        <v>11</v>
      </c>
    </row>
    <row r="97" spans="1:7" x14ac:dyDescent="0.2">
      <c r="A97" s="19"/>
      <c r="B97" s="3" t="s">
        <v>75</v>
      </c>
      <c r="C97">
        <v>61</v>
      </c>
      <c r="D97">
        <v>13</v>
      </c>
      <c r="E97">
        <v>10</v>
      </c>
    </row>
    <row r="98" spans="1:7" x14ac:dyDescent="0.2">
      <c r="A98" s="19"/>
      <c r="B98" s="3" t="s">
        <v>53</v>
      </c>
      <c r="C98">
        <v>79</v>
      </c>
      <c r="D98">
        <v>13</v>
      </c>
      <c r="E98">
        <v>12</v>
      </c>
    </row>
    <row r="99" spans="1:7" x14ac:dyDescent="0.2">
      <c r="A99" s="19"/>
      <c r="B99" s="1" t="s">
        <v>96</v>
      </c>
      <c r="C99">
        <v>48</v>
      </c>
      <c r="D99">
        <v>14</v>
      </c>
      <c r="E99">
        <v>11</v>
      </c>
    </row>
    <row r="100" spans="1:7" x14ac:dyDescent="0.2">
      <c r="A100" s="19"/>
      <c r="B100" s="3" t="s">
        <v>45</v>
      </c>
      <c r="C100">
        <v>50</v>
      </c>
      <c r="D100">
        <v>14</v>
      </c>
      <c r="E100">
        <v>12</v>
      </c>
    </row>
    <row r="101" spans="1:7" x14ac:dyDescent="0.2">
      <c r="A101" s="19"/>
      <c r="B101" s="3" t="s">
        <v>21</v>
      </c>
      <c r="C101">
        <v>67</v>
      </c>
      <c r="D101">
        <v>14</v>
      </c>
      <c r="E101">
        <v>12</v>
      </c>
    </row>
    <row r="102" spans="1:7" x14ac:dyDescent="0.2">
      <c r="A102" t="s">
        <v>268</v>
      </c>
      <c r="C102">
        <v>22.94</v>
      </c>
      <c r="D102">
        <v>8.06</v>
      </c>
      <c r="E102">
        <v>6.11</v>
      </c>
      <c r="F102" s="2">
        <v>57</v>
      </c>
      <c r="G102" s="2" t="s">
        <v>255</v>
      </c>
    </row>
    <row r="103" spans="1:7" x14ac:dyDescent="0.2">
      <c r="F103" s="7">
        <v>19</v>
      </c>
      <c r="G103" s="2" t="s">
        <v>256</v>
      </c>
    </row>
    <row r="104" spans="1:7" x14ac:dyDescent="0.2">
      <c r="F104" s="7">
        <v>3</v>
      </c>
      <c r="G104" s="2" t="s">
        <v>257</v>
      </c>
    </row>
    <row r="105" spans="1:7" x14ac:dyDescent="0.2">
      <c r="F105" s="7">
        <v>4</v>
      </c>
      <c r="G105" s="2" t="s">
        <v>254</v>
      </c>
    </row>
    <row r="106" spans="1:7" x14ac:dyDescent="0.2">
      <c r="F106" s="7">
        <v>17</v>
      </c>
      <c r="G106" s="2" t="s">
        <v>258</v>
      </c>
    </row>
  </sheetData>
  <autoFilter ref="B1:E1" xr:uid="{CE2FDC77-4D2F-1F47-94A4-924C60B1FE47}"/>
  <sortState xmlns:xlrd2="http://schemas.microsoft.com/office/spreadsheetml/2017/richdata2" ref="B67:E74">
    <sortCondition ref="C66:C74"/>
  </sortState>
  <mergeCells count="5">
    <mergeCell ref="A2:A58"/>
    <mergeCell ref="A59:A77"/>
    <mergeCell ref="A78:A80"/>
    <mergeCell ref="A81:A84"/>
    <mergeCell ref="A85:A101"/>
  </mergeCells>
  <hyperlinks>
    <hyperlink ref="B84" r:id="rId1" display="http://google.com/" xr:uid="{F4860498-24DA-924B-B37C-F98A02DEE74E}"/>
    <hyperlink ref="B2" r:id="rId2" display="http://mail.ru/" xr:uid="{372DE748-D7DF-454B-881B-77B90B4F7A5D}"/>
    <hyperlink ref="B23" r:id="rId3" display="http://microsoft.com/" xr:uid="{6B3B497D-D5ED-B347-A50D-2A55F425BA6E}"/>
    <hyperlink ref="B27" r:id="rId4" display="http://gtld-servers.net/" xr:uid="{13BB1680-C0AA-6648-ADC3-5A97A34DA0B4}"/>
    <hyperlink ref="B59" r:id="rId5" display="http://facebook.com/" xr:uid="{9A5C0ED5-44D0-0C41-BD69-A159D4CD6E77}"/>
    <hyperlink ref="B38" r:id="rId6" display="http://cloudflare.com/" xr:uid="{A930ECEB-C6CE-6E41-97FA-486C355666F7}"/>
    <hyperlink ref="B47" r:id="rId7" display="http://apple.com/" xr:uid="{67C1FF68-9114-BD43-B53E-DFE229CAF561}"/>
    <hyperlink ref="B57" r:id="rId8" display="http://amazonaws.com/" xr:uid="{C1D2B47B-C057-9B4D-BDB3-C0D0FE6FB5CA}"/>
    <hyperlink ref="B36" r:id="rId9" display="http://dzen.ru/" xr:uid="{7AE32F90-63DB-774A-B90E-291B0B4FB1C4}"/>
    <hyperlink ref="B60" r:id="rId10" display="http://instagram.com/" xr:uid="{07794735-E143-7545-8A9E-9EE1C30F7042}"/>
    <hyperlink ref="B81" r:id="rId11" display="http://akamai.net/" xr:uid="{AC79E3E5-88C6-A34D-934B-087C23687662}"/>
    <hyperlink ref="B25" r:id="rId12" display="http://twitter.com/" xr:uid="{A4115EFA-C57C-4A49-819F-151870FBAD5D}"/>
    <hyperlink ref="B82" r:id="rId13" display="http://linkedin.com/" xr:uid="{F45A696B-9C57-1345-A0C3-B18C4D0FCC03}"/>
    <hyperlink ref="B80" r:id="rId14" display="http://amazon.com/" xr:uid="{60DDB5A8-7E14-3E45-A635-0801995F53F1}"/>
    <hyperlink ref="B75" r:id="rId15" display="http://azure.com/" xr:uid="{B5CC4F48-0944-1540-A5DC-5929CE2BCBE3}"/>
    <hyperlink ref="B28" r:id="rId16" display="http://wikipedia.org/" xr:uid="{1ECFA1B5-AFD8-2847-9ADD-DDAF096B5D0F}"/>
    <hyperlink ref="B34" r:id="rId17" display="http://github.com/" xr:uid="{3B8BCE1D-FCAB-F14A-A137-42E879754EEF}"/>
    <hyperlink ref="B62" r:id="rId18" display="http://digicert.com/" xr:uid="{BF3222C3-C59D-E946-A853-57F99B94C50D}"/>
    <hyperlink ref="B17" r:id="rId19" display="http://netflix.com/" xr:uid="{149F33B5-24A4-2645-B446-2D48F431A8C2}"/>
    <hyperlink ref="B18" r:id="rId20" display="http://whatsapp.net/" xr:uid="{DAC38C7E-0DA1-0345-8A5E-EA20E24766E4}"/>
    <hyperlink ref="B70" r:id="rId21" display="http://fastly.net/" xr:uid="{38890C08-C764-874D-BA65-773F6BE3B02F}"/>
    <hyperlink ref="B101" r:id="rId22" display="http://domaincontrol.com/godaddy.com" xr:uid="{EA589358-359D-3B46-BCA9-30EB70D63F62}"/>
    <hyperlink ref="B44" r:id="rId23" display="http://wordpress.org/" xr:uid="{C7FA8F6E-8D66-3541-91A3-C2FDA5600809}"/>
    <hyperlink ref="B53" r:id="rId24" display="http://e2ro.com/" xr:uid="{58056A13-7985-7644-B671-798DB6812996}"/>
    <hyperlink ref="B77" r:id="rId25" display="http://appsflyersdk.com/" xr:uid="{DEB55BF4-0EA6-304E-9D9C-1BFED662F4A0}"/>
    <hyperlink ref="B15" r:id="rId26" display="http://pinterest.com/" xr:uid="{E770B4CB-FEC2-3046-A66F-3A13739E3FA2}"/>
    <hyperlink ref="B48" r:id="rId27" display="http://yahoo.com/" xr:uid="{1F6C7DC2-D3D0-BE48-8E0F-46AAAD360297}"/>
    <hyperlink ref="B10" r:id="rId28" display="http://gandi.net/" xr:uid="{9C51B0A9-A67E-164C-8A3D-7EE7BDE3B710}"/>
    <hyperlink ref="B61" r:id="rId29" display="http://spotify.com/" xr:uid="{95F9AB64-C6F4-5149-B603-3F76219A3CB3}"/>
    <hyperlink ref="B40" r:id="rId30" display="http://tiktok.com/" xr:uid="{F3CD2639-837B-2544-9686-B9A31E0EA5D6}"/>
    <hyperlink ref="B58" r:id="rId31" display="http://ntp.org/" xr:uid="{7303B3B0-D1A8-FE44-9A5B-19549E381F3E}"/>
    <hyperlink ref="B26" r:id="rId32" display="http://vimeo.com/" xr:uid="{E4881EA2-40BE-4E4E-A79B-2510D8447DC8}"/>
    <hyperlink ref="B52" r:id="rId33" display="http://venmo.com/" xr:uid="{83C86551-C459-B243-A475-09BD7B0E096F}"/>
    <hyperlink ref="B29" r:id="rId34" display="http://roblox.com/" xr:uid="{2E101DC0-1EF5-3847-BA81-A143EDB8D976}"/>
    <hyperlink ref="B78" r:id="rId35" display="http://chatgpt.com/" xr:uid="{EBF36431-6406-A84A-BB89-5B3874F23038}"/>
    <hyperlink ref="B56" r:id="rId36" display="http://zoom.us/" xr:uid="{3D862482-8133-6D40-ADE2-228C1BEC3DFB}"/>
    <hyperlink ref="B89" r:id="rId37" display="http://nic.ru/" xr:uid="{90446DA9-3DE1-1D4B-8CB7-0878290481BD}"/>
    <hyperlink ref="B14" r:id="rId38" display="http://qq.com/" xr:uid="{EC661622-8C91-864D-88B4-63DD2CCDACF3}"/>
    <hyperlink ref="B50" r:id="rId39" display="http://nginx.org/" xr:uid="{75A7F02E-C597-1143-9EA5-06A7E14FC79D}"/>
    <hyperlink ref="B35" r:id="rId40" display="http://opera.com/" xr:uid="{20CE98F7-019F-F844-B554-1DC91416268A}"/>
    <hyperlink ref="B5" r:id="rId41" display="http://baidu.com/" xr:uid="{B5BE5E6B-6FC8-4B42-BCD7-29C6789A39EA}"/>
    <hyperlink ref="B74" r:id="rId42" display="http://samsung.com/" xr:uid="{314B9A31-9EE5-DD4C-AF2F-20BB82DBCDBE}"/>
    <hyperlink ref="B91" r:id="rId43" display="http://bit.ly/" xr:uid="{62A5D3DB-0DA5-B14B-9B3C-CE156CBCD035}"/>
    <hyperlink ref="B41" r:id="rId44" display="http://wordpress.com/" xr:uid="{7F444246-C999-2F44-B1B9-FE37C3961D22}"/>
    <hyperlink ref="B67" r:id="rId45" display="http://intuit.com/" xr:uid="{E579DE2C-6349-C645-A846-C66F9C8E6243}"/>
    <hyperlink ref="B100" r:id="rId46" display="http://okcdn.ru/" xr:uid="{A42AD951-7070-8246-A820-CC4C4E051EE7}"/>
    <hyperlink ref="B19" r:id="rId47" display="http://ui.com/" xr:uid="{97A9E836-E359-FC4D-84C0-0EF79E04A1E0}"/>
    <hyperlink ref="B21" r:id="rId48" display="http://sentry.io/" xr:uid="{7F758D37-6B09-9244-BD20-4C071FFC426E}"/>
    <hyperlink ref="B76" r:id="rId49" display="http://windows.com/" xr:uid="{D19885A6-A7D9-0A4A-85F7-379FE78D0B59}"/>
    <hyperlink ref="B46" r:id="rId50" display="http://mozilla.org/" xr:uid="{F0EFDF46-F794-7148-B875-46C3B57A812B}"/>
    <hyperlink ref="B94" r:id="rId51" display="http://reddit.com/" xr:uid="{8E7789EC-2958-ED42-B0B4-704961AC356C}"/>
    <hyperlink ref="B71" r:id="rId52" display="http://unity3d.com/" xr:uid="{BB5C2880-7B1E-9940-985E-48C0EFE523FE}"/>
    <hyperlink ref="B49" r:id="rId53" display="http://paypal.com/" xr:uid="{08C77AC4-1899-3345-A125-96C0F7C993EB}"/>
    <hyperlink ref="B98" r:id="rId54" display="http://vk.com/" xr:uid="{C6D5FA43-F6E8-0942-9F08-2B9BF0AF34F7}"/>
    <hyperlink ref="B54" r:id="rId55" display="http://blogspot.com/" xr:uid="{4B08A8C1-E8DD-F84C-8908-9F5359DDCD6F}"/>
    <hyperlink ref="B9" r:id="rId56" display="http://t.me/" xr:uid="{395D4A93-44DE-AC4D-9FA8-D3324CCE361A}"/>
    <hyperlink ref="B42" r:id="rId57" display="http://snapchat.com/" xr:uid="{F42E4BD4-7085-414C-A420-A59DB04D6DA6}"/>
    <hyperlink ref="B51" r:id="rId58" display="http://discord.gg/" xr:uid="{5096D447-676C-C346-BB41-133AF6D9E840}"/>
    <hyperlink ref="B63" r:id="rId59" display="https://m365.cloud.microsoft/" xr:uid="{5C19EA3C-C315-7A46-B257-8574FA147924}"/>
    <hyperlink ref="B8" r:id="rId60" display="https://www.netify.ai/" xr:uid="{88D0FEC6-4F9D-0D4E-B3F3-052ACF7CD775}"/>
    <hyperlink ref="B6" r:id="rId61" display="http://apache.org/" xr:uid="{DF9EDA8D-753B-C146-92F7-D10F1D33C21E}"/>
    <hyperlink ref="B79" r:id="rId62" display="http://epicgames.com/" xr:uid="{9FFB5E0F-D4CF-AF45-AE79-289381DAE239}"/>
    <hyperlink ref="B3" r:id="rId63" display="http://trbcdn.com/" xr:uid="{E987B201-EF78-4A4F-85A3-5134933F902C}"/>
    <hyperlink ref="B64" r:id="rId64" display="http://amazonvideo.com/" xr:uid="{EA8C8D01-16FD-0E4E-B7BF-9DF04C344B2B}"/>
    <hyperlink ref="B43" r:id="rId65" display="http://outlook.com/" xr:uid="{DB693A2D-806F-DC43-A9BE-2B1EE0D26C23}"/>
    <hyperlink ref="B72" r:id="rId66" display="http://dropbox.com/" xr:uid="{AA177CD5-CF02-BD40-A463-41A42A2627C2}"/>
    <hyperlink ref="B32" r:id="rId67" display="http://0xrpc.io/" xr:uid="{EE659EE8-AF19-BE48-A772-A3A39545D93B}"/>
    <hyperlink ref="B65" r:id="rId68" display="http://criteo.com/" xr:uid="{AFCCBBCD-B4D3-A840-A76A-DCE06D492A71}"/>
    <hyperlink ref="B55" r:id="rId69" display="http://xiaomi.com/" xr:uid="{954ABCA2-6331-5F4A-97E4-43E877E73838}"/>
    <hyperlink ref="B37" r:id="rId70" display="http://archive.org/" xr:uid="{A8426ACA-EF63-5648-839E-847D54A9D883}"/>
    <hyperlink ref="B92" r:id="rId71" display="http://applovin.com/" xr:uid="{C6D358AA-44A8-5443-8AF1-24A280EA2020}"/>
    <hyperlink ref="B30" r:id="rId72" display="http://tumblr.com/" xr:uid="{0A8195E4-4F13-F144-BC26-F6DEEFD2018E}"/>
    <hyperlink ref="B95" r:id="rId73" display="http://f5.com/" xr:uid="{5FDC309A-F943-D245-91F8-086870935CD3}"/>
    <hyperlink ref="B11" r:id="rId74" display="http://home.miui.com/" xr:uid="{F2EC6404-80AE-AC4D-947C-2C456ED8EB6B}"/>
    <hyperlink ref="B97" r:id="rId75" display="http://cpanel.net/" xr:uid="{1B845392-CCD1-8840-A75A-7263248B73F3}"/>
    <hyperlink ref="B12" r:id="rId76" display="http://demdex.net/" xr:uid="{F43CDDF2-8EA9-A44F-9195-AED2541270B1}"/>
    <hyperlink ref="B7" r:id="rId77" display="http://doi.org/" xr:uid="{07AF4620-DD19-284E-9CA8-C237E0B6CA7F}"/>
    <hyperlink ref="B16" r:id="rId78" display="http://merkle.io/" xr:uid="{D69189CD-E09B-3E44-BB51-1B605905E66F}"/>
    <hyperlink ref="B13" r:id="rId79" display="http://roku.com/" xr:uid="{78667350-2B50-414E-A978-D55822266C72}"/>
    <hyperlink ref="B93" r:id="rId80" display="http://doubleverify.com/" xr:uid="{592E9018-5B41-D946-B034-87C50F6F7011}"/>
    <hyperlink ref="B22" r:id="rId81" display="http://scorecardresearch.com/" xr:uid="{8A0F92A6-BC41-9E44-84FC-E714B41EE86D}"/>
    <hyperlink ref="B24" r:id="rId82" display="http://imdb.com/" xr:uid="{1AF02EC3-D3A4-3B4A-88F4-5A0622342654}"/>
    <hyperlink ref="B39" r:id="rId83" display="http://indexexchange.com/" xr:uid="{76F16329-CCD4-644C-8C88-4231520F213B}"/>
    <hyperlink ref="B96" r:id="rId84" display="http://linktr.ee/" xr:uid="{80E8CC6D-8486-F244-98EC-1E43C0204348}"/>
    <hyperlink ref="B73" r:id="rId85" display="http://wix.com/" xr:uid="{A110E06B-4E4E-2941-8D3D-5EAB607C5ECE}"/>
    <hyperlink ref="B87" r:id="rId86" display="http://legal.hubspot.com/" xr:uid="{B039691A-0ADA-FD4E-8360-22F10F88785D}"/>
    <hyperlink ref="B20" r:id="rId87" display="http://yandex.com/" xr:uid="{651B31FC-8F3D-A442-AC51-E4F1C0306EB0}"/>
    <hyperlink ref="B31" r:id="rId88" display="http://salesforce.com/" xr:uid="{F6368F42-CAED-2842-8DD2-2658DCBDC908}"/>
    <hyperlink ref="B88" r:id="rId89" display="http://hp.com/" xr:uid="{45F59D25-BA2B-074A-B781-0DD75D02EC26}"/>
    <hyperlink ref="B68" r:id="rId90" display="http://stripe.com/" xr:uid="{CDC1D19C-0FC0-D145-80C7-1165DFBCC439}"/>
    <hyperlink ref="B90" r:id="rId91" display="http://advertising.inmobi.com/" xr:uid="{34618196-DB85-7B4F-B47A-81377CD3D1A0}"/>
    <hyperlink ref="B33" r:id="rId92" display="http://mikrotik.com/" xr:uid="{E3E24CD9-C7C1-414A-BDC3-EE75F0AC86BD}"/>
    <hyperlink ref="B4" r:id="rId93" display="http://firebasestorage.googleapis.com/" xr:uid="{48CACD26-E143-6F44-8F2D-DD166802B14C}"/>
    <hyperlink ref="B85" r:id="rId94" display="http://samsungcloud.com/" xr:uid="{F4C4B846-B864-7247-BDDA-CC46A81AECE1}"/>
    <hyperlink ref="B69" r:id="rId95" display="http://grammarly.com/" xr:uid="{4B4E89B9-4383-5B4F-B1C2-5F3D981D4D7D}"/>
    <hyperlink ref="B66" r:id="rId96" display="http://kaspersky.com/" xr:uid="{B1290825-8B6C-1547-913D-60F975120329}"/>
    <hyperlink ref="B83" r:id="rId97" display="http://slack.com/" xr:uid="{B3D676BA-95AE-F84F-B55B-5D789A7E8C8F}"/>
  </hyperlinks>
  <pageMargins left="0.7" right="0.7" top="0.75" bottom="0.75" header="0.3" footer="0.3"/>
  <drawing r:id="rId9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65D3-B5FA-5249-B532-37A6D3AE6270}">
  <dimension ref="A1:W3"/>
  <sheetViews>
    <sheetView zoomScale="140" zoomScaleNormal="140" workbookViewId="0">
      <selection activeCell="Q3" sqref="Q3:U3"/>
    </sheetView>
  </sheetViews>
  <sheetFormatPr baseColWidth="10" defaultColWidth="18.33203125" defaultRowHeight="16" x14ac:dyDescent="0.2"/>
  <sheetData>
    <row r="1" spans="1:23" x14ac:dyDescent="0.2"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t="s">
        <v>134</v>
      </c>
      <c r="R1" t="s">
        <v>263</v>
      </c>
      <c r="S1" t="s">
        <v>264</v>
      </c>
      <c r="T1" t="s">
        <v>135</v>
      </c>
      <c r="U1" t="s">
        <v>265</v>
      </c>
      <c r="V1" t="s">
        <v>268</v>
      </c>
      <c r="W1" t="s">
        <v>278</v>
      </c>
    </row>
    <row r="2" spans="1:23" x14ac:dyDescent="0.2">
      <c r="A2" t="s">
        <v>276</v>
      </c>
      <c r="B2">
        <v>61</v>
      </c>
      <c r="C2">
        <v>25</v>
      </c>
      <c r="D2">
        <v>52</v>
      </c>
      <c r="E2">
        <v>53</v>
      </c>
      <c r="F2">
        <v>29</v>
      </c>
      <c r="G2">
        <v>9</v>
      </c>
      <c r="H2">
        <v>1</v>
      </c>
      <c r="I2">
        <v>72</v>
      </c>
      <c r="J2">
        <v>16</v>
      </c>
      <c r="K2">
        <v>19</v>
      </c>
      <c r="L2">
        <v>4</v>
      </c>
      <c r="M2">
        <v>0</v>
      </c>
      <c r="N2">
        <v>1</v>
      </c>
      <c r="O2">
        <v>0</v>
      </c>
      <c r="P2">
        <v>0</v>
      </c>
      <c r="V2">
        <f>SUM(B2:U2)/15</f>
        <v>22.8</v>
      </c>
      <c r="W2">
        <f>SUM(B2:U2)/100</f>
        <v>3.42</v>
      </c>
    </row>
    <row r="3" spans="1:23" x14ac:dyDescent="0.2">
      <c r="A3" s="5" t="s">
        <v>275</v>
      </c>
      <c r="B3" s="5">
        <v>50</v>
      </c>
      <c r="D3" s="5">
        <v>50</v>
      </c>
      <c r="F3" s="5">
        <v>29</v>
      </c>
      <c r="G3" s="5">
        <v>8</v>
      </c>
      <c r="I3" s="5">
        <v>71</v>
      </c>
      <c r="K3" s="5">
        <v>18</v>
      </c>
      <c r="L3" s="5">
        <v>0</v>
      </c>
      <c r="M3" s="5">
        <v>0</v>
      </c>
      <c r="N3" s="5">
        <v>1</v>
      </c>
      <c r="O3" s="5">
        <v>0</v>
      </c>
      <c r="Q3" s="5">
        <v>55</v>
      </c>
      <c r="R3" s="5">
        <v>15</v>
      </c>
      <c r="S3" s="5">
        <v>30</v>
      </c>
      <c r="T3" s="5">
        <v>39</v>
      </c>
      <c r="U3" s="5">
        <v>36</v>
      </c>
      <c r="V3">
        <f>SUM(B3:U3)/15</f>
        <v>26.8</v>
      </c>
      <c r="W3">
        <f>SUM(B3:U3)/100</f>
        <v>4.0199999999999996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B8C2-E840-3B44-B652-B5E086F962BF}">
  <dimension ref="A1:N7"/>
  <sheetViews>
    <sheetView workbookViewId="0">
      <selection activeCell="I1" sqref="I1"/>
    </sheetView>
  </sheetViews>
  <sheetFormatPr baseColWidth="10" defaultColWidth="18.5" defaultRowHeight="16" x14ac:dyDescent="0.2"/>
  <cols>
    <col min="1" max="1" width="11.5" style="12" bestFit="1" customWidth="1"/>
    <col min="2" max="2" width="13.5" style="12" bestFit="1" customWidth="1"/>
    <col min="3" max="3" width="13.1640625" style="12" bestFit="1" customWidth="1"/>
    <col min="4" max="4" width="17.1640625" style="12" bestFit="1" customWidth="1"/>
    <col min="5" max="5" width="14" style="12" bestFit="1" customWidth="1"/>
    <col min="6" max="6" width="9.83203125" style="12" bestFit="1" customWidth="1"/>
    <col min="7" max="7" width="16.6640625" style="12" bestFit="1" customWidth="1"/>
    <col min="8" max="8" width="16" style="12" bestFit="1" customWidth="1"/>
    <col min="9" max="9" width="15.33203125" style="12" bestFit="1" customWidth="1"/>
    <col min="10" max="10" width="15.83203125" style="12" bestFit="1" customWidth="1"/>
    <col min="11" max="11" width="14.5" style="12" bestFit="1" customWidth="1"/>
    <col min="12" max="12" width="14.5" style="12" customWidth="1"/>
    <col min="13" max="13" width="11.6640625" style="12" bestFit="1" customWidth="1"/>
    <col min="14" max="14" width="11.33203125" style="12" bestFit="1" customWidth="1"/>
    <col min="15" max="16384" width="18.5" style="12"/>
  </cols>
  <sheetData>
    <row r="1" spans="1:14" x14ac:dyDescent="0.2">
      <c r="B1" s="12" t="s">
        <v>138</v>
      </c>
      <c r="C1" s="12" t="s">
        <v>139</v>
      </c>
      <c r="D1" s="12" t="s">
        <v>140</v>
      </c>
      <c r="E1" s="12" t="s">
        <v>141</v>
      </c>
      <c r="F1" s="12" t="s">
        <v>143</v>
      </c>
      <c r="G1" s="12" t="s">
        <v>270</v>
      </c>
      <c r="H1" s="12" t="s">
        <v>148</v>
      </c>
      <c r="I1" s="12" t="s">
        <v>149</v>
      </c>
      <c r="J1" s="12" t="s">
        <v>150</v>
      </c>
      <c r="K1" s="12" t="s">
        <v>151</v>
      </c>
      <c r="M1" s="12" t="s">
        <v>284</v>
      </c>
      <c r="N1" s="12" t="s">
        <v>278</v>
      </c>
    </row>
    <row r="2" spans="1:14" x14ac:dyDescent="0.2">
      <c r="A2" s="12" t="s">
        <v>259</v>
      </c>
      <c r="B2" s="12">
        <v>45</v>
      </c>
      <c r="C2" s="12">
        <v>1</v>
      </c>
      <c r="D2" s="12">
        <v>14</v>
      </c>
      <c r="E2" s="12">
        <v>37</v>
      </c>
      <c r="F2" s="12">
        <v>9</v>
      </c>
      <c r="G2" s="12">
        <v>2</v>
      </c>
      <c r="H2" s="12">
        <v>0</v>
      </c>
      <c r="I2" s="12">
        <v>0</v>
      </c>
      <c r="J2" s="12">
        <v>0</v>
      </c>
      <c r="K2" s="12">
        <v>0</v>
      </c>
      <c r="L2" s="12">
        <f>SUM(B2:K2)</f>
        <v>108</v>
      </c>
      <c r="M2" s="12">
        <f>SUM(B2:K2)/10</f>
        <v>10.8</v>
      </c>
      <c r="N2" s="12">
        <f>SUM(B2:K2)/100</f>
        <v>1.08</v>
      </c>
    </row>
    <row r="3" spans="1:14" x14ac:dyDescent="0.2">
      <c r="A3" s="14" t="s">
        <v>266</v>
      </c>
      <c r="B3" s="13">
        <v>35</v>
      </c>
      <c r="C3" s="13">
        <v>46</v>
      </c>
      <c r="D3" s="13">
        <v>15</v>
      </c>
      <c r="E3" s="13">
        <v>18</v>
      </c>
      <c r="F3" s="13">
        <v>7</v>
      </c>
      <c r="G3" s="13">
        <v>14</v>
      </c>
      <c r="H3" s="13">
        <v>0</v>
      </c>
      <c r="I3" s="13">
        <v>21</v>
      </c>
      <c r="J3" s="13">
        <v>0</v>
      </c>
      <c r="K3" s="13">
        <v>0</v>
      </c>
      <c r="L3" s="12">
        <f t="shared" ref="L3:L7" si="0">SUM(B3:K3)</f>
        <v>156</v>
      </c>
      <c r="M3" s="12">
        <f t="shared" ref="M3:M7" si="1">SUM(B3:K3)/10</f>
        <v>15.6</v>
      </c>
      <c r="N3" s="12">
        <f t="shared" ref="N3:N7" si="2">SUM(B3:K3)/100</f>
        <v>1.56</v>
      </c>
    </row>
    <row r="4" spans="1:14" ht="17" customHeight="1" x14ac:dyDescent="0.2">
      <c r="A4" s="12" t="s">
        <v>260</v>
      </c>
      <c r="B4" s="12">
        <v>23</v>
      </c>
      <c r="C4" s="12">
        <v>12</v>
      </c>
      <c r="D4" s="12">
        <v>8</v>
      </c>
      <c r="E4" s="12">
        <v>30</v>
      </c>
      <c r="F4" s="12">
        <v>66</v>
      </c>
      <c r="G4" s="12">
        <v>12</v>
      </c>
      <c r="H4" s="12">
        <v>7</v>
      </c>
      <c r="I4" s="12">
        <v>5</v>
      </c>
      <c r="J4" s="12">
        <v>12</v>
      </c>
      <c r="K4" s="12">
        <v>1</v>
      </c>
      <c r="L4" s="12">
        <f t="shared" si="0"/>
        <v>176</v>
      </c>
      <c r="M4" s="12">
        <f t="shared" si="1"/>
        <v>17.600000000000001</v>
      </c>
      <c r="N4" s="12">
        <f t="shared" si="2"/>
        <v>1.76</v>
      </c>
    </row>
    <row r="5" spans="1:14" x14ac:dyDescent="0.2">
      <c r="A5" s="14" t="s">
        <v>269</v>
      </c>
      <c r="B5" s="17">
        <v>31</v>
      </c>
      <c r="C5" s="17">
        <v>30</v>
      </c>
      <c r="D5" s="13">
        <v>5</v>
      </c>
      <c r="E5" s="17">
        <v>45</v>
      </c>
      <c r="F5" s="17">
        <v>63</v>
      </c>
      <c r="G5" s="13">
        <v>11</v>
      </c>
      <c r="H5" s="13">
        <v>7</v>
      </c>
      <c r="I5" s="13">
        <v>7</v>
      </c>
      <c r="J5" s="13">
        <v>12</v>
      </c>
      <c r="K5" s="13">
        <v>1</v>
      </c>
      <c r="L5" s="12">
        <f t="shared" si="0"/>
        <v>212</v>
      </c>
      <c r="M5" s="12">
        <f t="shared" si="1"/>
        <v>21.2</v>
      </c>
      <c r="N5" s="12">
        <f t="shared" si="2"/>
        <v>2.12</v>
      </c>
    </row>
    <row r="6" spans="1:14" x14ac:dyDescent="0.2">
      <c r="A6" s="12" t="s">
        <v>153</v>
      </c>
      <c r="B6" s="12">
        <v>68</v>
      </c>
      <c r="C6" s="12">
        <v>13</v>
      </c>
      <c r="D6" s="12">
        <v>22</v>
      </c>
      <c r="E6" s="12">
        <v>67</v>
      </c>
      <c r="F6" s="12">
        <v>75</v>
      </c>
      <c r="G6" s="12">
        <v>14</v>
      </c>
      <c r="H6" s="12">
        <v>7</v>
      </c>
      <c r="I6" s="12">
        <v>5</v>
      </c>
      <c r="J6" s="12">
        <v>12</v>
      </c>
      <c r="K6" s="12">
        <v>1</v>
      </c>
      <c r="L6" s="12">
        <f t="shared" si="0"/>
        <v>284</v>
      </c>
      <c r="M6" s="12">
        <f t="shared" si="1"/>
        <v>28.4</v>
      </c>
      <c r="N6" s="12">
        <f t="shared" si="2"/>
        <v>2.84</v>
      </c>
    </row>
    <row r="7" spans="1:14" x14ac:dyDescent="0.2">
      <c r="A7" s="14" t="s">
        <v>154</v>
      </c>
      <c r="B7" s="17">
        <v>66</v>
      </c>
      <c r="C7" s="17">
        <v>76</v>
      </c>
      <c r="D7" s="13">
        <v>20</v>
      </c>
      <c r="E7" s="17">
        <v>63</v>
      </c>
      <c r="F7" s="17">
        <v>70</v>
      </c>
      <c r="G7" s="13">
        <v>25</v>
      </c>
      <c r="H7" s="13">
        <v>7</v>
      </c>
      <c r="I7" s="18">
        <v>28</v>
      </c>
      <c r="J7" s="13">
        <v>12</v>
      </c>
      <c r="K7" s="13">
        <v>1</v>
      </c>
      <c r="L7" s="12">
        <f t="shared" si="0"/>
        <v>368</v>
      </c>
      <c r="M7" s="12">
        <f t="shared" si="1"/>
        <v>36.799999999999997</v>
      </c>
      <c r="N7" s="12">
        <f t="shared" si="2"/>
        <v>3.68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44B4-BEFC-E348-A615-E68D986B9AD8}">
  <dimension ref="A1:T7"/>
  <sheetViews>
    <sheetView workbookViewId="0">
      <selection activeCell="M7" sqref="M7"/>
    </sheetView>
  </sheetViews>
  <sheetFormatPr baseColWidth="10" defaultColWidth="11" defaultRowHeight="16" x14ac:dyDescent="0.2"/>
  <cols>
    <col min="1" max="1" width="12.6640625" bestFit="1" customWidth="1"/>
    <col min="2" max="2" width="12.33203125" bestFit="1" customWidth="1"/>
    <col min="3" max="3" width="12.1640625" bestFit="1" customWidth="1"/>
    <col min="4" max="4" width="16" bestFit="1" customWidth="1"/>
    <col min="5" max="5" width="13.33203125" bestFit="1" customWidth="1"/>
    <col min="6" max="6" width="10.33203125" bestFit="1" customWidth="1"/>
    <col min="7" max="7" width="9.5" bestFit="1" customWidth="1"/>
    <col min="8" max="8" width="10.6640625" bestFit="1" customWidth="1"/>
    <col min="9" max="9" width="10.1640625" bestFit="1" customWidth="1"/>
    <col min="10" max="10" width="13.33203125" bestFit="1" customWidth="1"/>
    <col min="11" max="11" width="15.6640625" bestFit="1" customWidth="1"/>
    <col min="12" max="12" width="15" bestFit="1" customWidth="1"/>
    <col min="13" max="13" width="14.1640625" bestFit="1" customWidth="1"/>
    <col min="14" max="14" width="15.5" bestFit="1" customWidth="1"/>
    <col min="15" max="15" width="14.5" bestFit="1" customWidth="1"/>
    <col min="16" max="16" width="16.5" bestFit="1" customWidth="1"/>
    <col min="17" max="17" width="16.5" customWidth="1"/>
  </cols>
  <sheetData>
    <row r="1" spans="1:20" x14ac:dyDescent="0.2"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8"/>
      <c r="R1" s="8" t="s">
        <v>268</v>
      </c>
      <c r="S1" s="8" t="s">
        <v>279</v>
      </c>
    </row>
    <row r="2" spans="1:20" x14ac:dyDescent="0.2">
      <c r="A2" t="s">
        <v>259</v>
      </c>
      <c r="B2" s="5">
        <v>58</v>
      </c>
      <c r="C2" s="5">
        <v>13</v>
      </c>
      <c r="D2" s="5">
        <v>32</v>
      </c>
      <c r="E2" s="5">
        <v>44</v>
      </c>
      <c r="F2" s="5">
        <v>26</v>
      </c>
      <c r="G2" s="5">
        <v>6</v>
      </c>
      <c r="H2" s="5">
        <v>1</v>
      </c>
      <c r="I2" s="5">
        <v>62</v>
      </c>
      <c r="J2" s="5">
        <v>1</v>
      </c>
      <c r="K2" s="5">
        <v>9</v>
      </c>
      <c r="L2" s="5">
        <v>1</v>
      </c>
      <c r="M2" s="5">
        <v>0</v>
      </c>
      <c r="N2" s="5">
        <v>1</v>
      </c>
      <c r="O2" s="5">
        <v>0</v>
      </c>
      <c r="P2" s="5">
        <v>0</v>
      </c>
      <c r="Q2">
        <f>SUM(B2:P2)</f>
        <v>254</v>
      </c>
      <c r="R2">
        <f>SUM(B2:P2)/15</f>
        <v>16.933333333333334</v>
      </c>
      <c r="S2">
        <f>SUM(B2:P2)/100</f>
        <v>2.54</v>
      </c>
      <c r="T2" t="s">
        <v>259</v>
      </c>
    </row>
    <row r="3" spans="1:20" x14ac:dyDescent="0.2">
      <c r="A3" t="s">
        <v>266</v>
      </c>
      <c r="B3">
        <v>49</v>
      </c>
      <c r="D3">
        <v>32</v>
      </c>
      <c r="F3">
        <v>28</v>
      </c>
      <c r="G3">
        <v>8</v>
      </c>
      <c r="I3">
        <v>62</v>
      </c>
      <c r="J3">
        <v>2</v>
      </c>
      <c r="K3">
        <v>10</v>
      </c>
      <c r="L3">
        <v>0</v>
      </c>
      <c r="M3">
        <v>0</v>
      </c>
      <c r="N3">
        <v>1</v>
      </c>
      <c r="O3">
        <v>0</v>
      </c>
      <c r="P3">
        <v>3</v>
      </c>
      <c r="Q3">
        <f t="shared" ref="Q3:Q7" si="0">SUM(B3:P3)</f>
        <v>195</v>
      </c>
      <c r="R3">
        <f>SUM(B3:P3)/12</f>
        <v>16.25</v>
      </c>
      <c r="S3">
        <f t="shared" ref="S3:S7" si="1">SUM(B3:P3)/100</f>
        <v>1.95</v>
      </c>
      <c r="T3" t="s">
        <v>266</v>
      </c>
    </row>
    <row r="4" spans="1:20" x14ac:dyDescent="0.2">
      <c r="A4" t="s">
        <v>260</v>
      </c>
      <c r="B4">
        <v>32</v>
      </c>
      <c r="C4">
        <v>46</v>
      </c>
      <c r="D4">
        <v>28</v>
      </c>
      <c r="E4">
        <v>32</v>
      </c>
      <c r="F4">
        <v>67</v>
      </c>
      <c r="G4">
        <v>66</v>
      </c>
      <c r="H4">
        <v>85</v>
      </c>
      <c r="I4">
        <v>24</v>
      </c>
      <c r="J4">
        <v>8</v>
      </c>
      <c r="K4">
        <v>29</v>
      </c>
      <c r="L4">
        <v>23</v>
      </c>
      <c r="M4">
        <v>70</v>
      </c>
      <c r="N4">
        <v>27</v>
      </c>
      <c r="O4">
        <v>14</v>
      </c>
      <c r="P4">
        <v>1</v>
      </c>
      <c r="Q4">
        <f t="shared" si="0"/>
        <v>552</v>
      </c>
      <c r="R4">
        <f t="shared" ref="R4:R6" si="2">SUM(B4:P4)/15</f>
        <v>36.799999999999997</v>
      </c>
      <c r="S4">
        <f t="shared" si="1"/>
        <v>5.52</v>
      </c>
      <c r="T4" t="s">
        <v>260</v>
      </c>
    </row>
    <row r="5" spans="1:20" x14ac:dyDescent="0.2">
      <c r="A5" t="s">
        <v>267</v>
      </c>
      <c r="B5" s="16">
        <v>45</v>
      </c>
      <c r="D5" s="16">
        <v>28</v>
      </c>
      <c r="F5" s="16">
        <v>65</v>
      </c>
      <c r="G5" s="16">
        <v>81</v>
      </c>
      <c r="I5">
        <v>24</v>
      </c>
      <c r="J5">
        <v>9</v>
      </c>
      <c r="K5">
        <v>22</v>
      </c>
      <c r="L5">
        <v>24</v>
      </c>
      <c r="M5" s="16">
        <v>70</v>
      </c>
      <c r="N5">
        <v>27</v>
      </c>
      <c r="O5">
        <v>14</v>
      </c>
      <c r="P5">
        <v>7</v>
      </c>
      <c r="Q5">
        <f t="shared" si="0"/>
        <v>416</v>
      </c>
      <c r="R5">
        <f>SUM(B5:P5)/12</f>
        <v>34.666666666666664</v>
      </c>
      <c r="S5">
        <f t="shared" si="1"/>
        <v>4.16</v>
      </c>
      <c r="T5" t="s">
        <v>267</v>
      </c>
    </row>
    <row r="6" spans="1:20" x14ac:dyDescent="0.2">
      <c r="A6" t="s">
        <v>153</v>
      </c>
      <c r="B6">
        <v>90</v>
      </c>
      <c r="C6">
        <v>59</v>
      </c>
      <c r="D6">
        <v>60</v>
      </c>
      <c r="E6">
        <v>76</v>
      </c>
      <c r="F6">
        <v>93</v>
      </c>
      <c r="G6">
        <v>72</v>
      </c>
      <c r="H6">
        <v>86</v>
      </c>
      <c r="I6">
        <v>86</v>
      </c>
      <c r="J6">
        <v>9</v>
      </c>
      <c r="K6">
        <v>38</v>
      </c>
      <c r="L6">
        <v>24</v>
      </c>
      <c r="M6">
        <v>70</v>
      </c>
      <c r="N6">
        <v>28</v>
      </c>
      <c r="O6">
        <v>14</v>
      </c>
      <c r="P6">
        <v>1</v>
      </c>
      <c r="Q6">
        <f t="shared" si="0"/>
        <v>806</v>
      </c>
      <c r="R6">
        <f t="shared" si="2"/>
        <v>53.733333333333334</v>
      </c>
      <c r="S6">
        <f t="shared" si="1"/>
        <v>8.06</v>
      </c>
      <c r="T6" t="s">
        <v>153</v>
      </c>
    </row>
    <row r="7" spans="1:20" x14ac:dyDescent="0.2">
      <c r="A7" t="s">
        <v>154</v>
      </c>
      <c r="B7" s="16">
        <v>94</v>
      </c>
      <c r="D7" s="16">
        <v>60</v>
      </c>
      <c r="F7" s="16">
        <v>93</v>
      </c>
      <c r="G7" s="16">
        <v>89</v>
      </c>
      <c r="I7" s="16">
        <v>86</v>
      </c>
      <c r="J7">
        <v>11</v>
      </c>
      <c r="K7">
        <v>32</v>
      </c>
      <c r="L7">
        <v>24</v>
      </c>
      <c r="M7" s="16">
        <v>70</v>
      </c>
      <c r="N7">
        <v>28</v>
      </c>
      <c r="O7">
        <v>14</v>
      </c>
      <c r="P7">
        <v>10</v>
      </c>
      <c r="Q7">
        <f t="shared" si="0"/>
        <v>611</v>
      </c>
      <c r="R7">
        <f>SUM(B7:P7)/12</f>
        <v>50.916666666666664</v>
      </c>
      <c r="S7">
        <f t="shared" si="1"/>
        <v>6.11</v>
      </c>
      <c r="T7" t="s">
        <v>154</v>
      </c>
    </row>
  </sheetData>
  <pageMargins left="0.7" right="0.7" top="0.75" bottom="0.75" header="0.3" footer="0.3"/>
  <ignoredErrors>
    <ignoredError sqref="R3 R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1B28-BDF7-0C42-BCCA-90C4024A0B62}">
  <dimension ref="A1:AJ3"/>
  <sheetViews>
    <sheetView topLeftCell="X1" zoomScaleNormal="100" workbookViewId="0">
      <selection activeCell="AI2" sqref="AI2:AI3"/>
    </sheetView>
  </sheetViews>
  <sheetFormatPr baseColWidth="10" defaultRowHeight="16" x14ac:dyDescent="0.2"/>
  <cols>
    <col min="1" max="1" width="10.33203125" customWidth="1"/>
    <col min="2" max="2" width="22" bestFit="1" customWidth="1"/>
    <col min="3" max="3" width="17.5" bestFit="1" customWidth="1"/>
    <col min="4" max="4" width="18.6640625" bestFit="1" customWidth="1"/>
    <col min="5" max="5" width="15.33203125" bestFit="1" customWidth="1"/>
    <col min="6" max="6" width="14.33203125" bestFit="1" customWidth="1"/>
    <col min="7" max="7" width="16.5" bestFit="1" customWidth="1"/>
    <col min="8" max="8" width="15.83203125" bestFit="1" customWidth="1"/>
    <col min="9" max="9" width="19" bestFit="1" customWidth="1"/>
    <col min="10" max="10" width="17.6640625" bestFit="1" customWidth="1"/>
    <col min="11" max="11" width="16.83203125" bestFit="1" customWidth="1"/>
    <col min="12" max="12" width="23" bestFit="1" customWidth="1"/>
    <col min="13" max="13" width="22.5" bestFit="1" customWidth="1"/>
    <col min="14" max="14" width="16.6640625" bestFit="1" customWidth="1"/>
    <col min="15" max="15" width="16" bestFit="1" customWidth="1"/>
    <col min="16" max="16" width="16.6640625" bestFit="1" customWidth="1"/>
    <col min="17" max="17" width="12.33203125" bestFit="1" customWidth="1"/>
    <col min="18" max="18" width="16.33203125" bestFit="1" customWidth="1"/>
    <col min="19" max="19" width="11.83203125" bestFit="1" customWidth="1"/>
    <col min="20" max="20" width="28.1640625" bestFit="1" customWidth="1"/>
    <col min="21" max="21" width="23" bestFit="1" customWidth="1"/>
    <col min="22" max="22" width="28.1640625" bestFit="1" customWidth="1"/>
    <col min="23" max="23" width="33.83203125" bestFit="1" customWidth="1"/>
    <col min="24" max="24" width="35.83203125" bestFit="1" customWidth="1"/>
    <col min="25" max="25" width="15.1640625" bestFit="1" customWidth="1"/>
    <col min="26" max="26" width="14.6640625" bestFit="1" customWidth="1"/>
    <col min="27" max="27" width="19.33203125" bestFit="1" customWidth="1"/>
    <col min="28" max="28" width="9.6640625" bestFit="1" customWidth="1"/>
    <col min="29" max="29" width="8" bestFit="1" customWidth="1"/>
    <col min="30" max="30" width="9.33203125" bestFit="1" customWidth="1"/>
    <col min="31" max="31" width="7" bestFit="1" customWidth="1"/>
    <col min="32" max="32" width="8.83203125" bestFit="1" customWidth="1"/>
    <col min="33" max="33" width="12.5" bestFit="1" customWidth="1"/>
    <col min="34" max="34" width="19" bestFit="1" customWidth="1"/>
  </cols>
  <sheetData>
    <row r="1" spans="1:36" x14ac:dyDescent="0.2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277</v>
      </c>
      <c r="AJ1" t="s">
        <v>278</v>
      </c>
    </row>
    <row r="2" spans="1:36" x14ac:dyDescent="0.2">
      <c r="A2" t="s">
        <v>153</v>
      </c>
      <c r="B2">
        <v>6</v>
      </c>
      <c r="C2">
        <v>5</v>
      </c>
      <c r="D2">
        <v>6</v>
      </c>
      <c r="E2">
        <v>5</v>
      </c>
      <c r="F2">
        <v>5</v>
      </c>
      <c r="G2">
        <v>36</v>
      </c>
      <c r="H2">
        <v>6</v>
      </c>
      <c r="I2">
        <v>7</v>
      </c>
      <c r="J2">
        <v>67</v>
      </c>
      <c r="K2">
        <v>67</v>
      </c>
      <c r="L2">
        <v>5</v>
      </c>
      <c r="M2">
        <v>3</v>
      </c>
      <c r="N2">
        <v>28</v>
      </c>
      <c r="O2">
        <v>28</v>
      </c>
      <c r="P2">
        <v>50</v>
      </c>
      <c r="Q2">
        <v>74</v>
      </c>
      <c r="R2">
        <v>11</v>
      </c>
      <c r="S2">
        <v>74</v>
      </c>
      <c r="T2">
        <v>19</v>
      </c>
      <c r="U2">
        <v>14</v>
      </c>
      <c r="V2">
        <v>7</v>
      </c>
      <c r="W2">
        <v>12</v>
      </c>
      <c r="X2">
        <v>1</v>
      </c>
      <c r="AG2">
        <v>14</v>
      </c>
      <c r="AH2">
        <v>13</v>
      </c>
      <c r="AI2">
        <f>SUM(B2:AH2)/25</f>
        <v>22.52</v>
      </c>
      <c r="AJ2">
        <f>SUM(B2:AH2)/100</f>
        <v>5.63</v>
      </c>
    </row>
    <row r="3" spans="1:36" x14ac:dyDescent="0.2">
      <c r="A3" s="9" t="s">
        <v>133</v>
      </c>
      <c r="B3">
        <v>5</v>
      </c>
      <c r="C3">
        <v>5</v>
      </c>
      <c r="D3">
        <v>6</v>
      </c>
      <c r="E3">
        <v>5</v>
      </c>
      <c r="F3">
        <v>5</v>
      </c>
      <c r="G3">
        <v>35</v>
      </c>
      <c r="H3">
        <v>6</v>
      </c>
      <c r="I3">
        <v>7</v>
      </c>
      <c r="J3">
        <v>65</v>
      </c>
      <c r="K3">
        <v>62</v>
      </c>
      <c r="L3">
        <v>4</v>
      </c>
      <c r="M3">
        <v>2</v>
      </c>
      <c r="N3">
        <v>28</v>
      </c>
      <c r="O3">
        <v>28</v>
      </c>
      <c r="P3">
        <v>47</v>
      </c>
      <c r="Q3">
        <v>68</v>
      </c>
      <c r="R3">
        <v>11</v>
      </c>
      <c r="S3">
        <v>68</v>
      </c>
      <c r="T3">
        <v>18</v>
      </c>
      <c r="U3">
        <v>13</v>
      </c>
      <c r="V3">
        <v>7</v>
      </c>
      <c r="W3">
        <v>12</v>
      </c>
      <c r="X3">
        <v>1</v>
      </c>
      <c r="Y3">
        <v>28</v>
      </c>
      <c r="Z3">
        <v>6</v>
      </c>
      <c r="AA3">
        <v>41</v>
      </c>
      <c r="AB3">
        <v>41</v>
      </c>
      <c r="AC3">
        <v>49</v>
      </c>
      <c r="AD3">
        <v>1</v>
      </c>
      <c r="AE3">
        <v>47</v>
      </c>
      <c r="AF3">
        <v>23</v>
      </c>
      <c r="AG3">
        <v>14</v>
      </c>
      <c r="AH3">
        <v>13</v>
      </c>
      <c r="AI3">
        <f>SUM(B3:AH3)/33</f>
        <v>23.363636363636363</v>
      </c>
      <c r="AJ3">
        <f>SUM(B3:AH3)/100</f>
        <v>7.71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51AC-A58D-6148-AED5-2E389AD5CD7C}">
  <dimension ref="A1:CX3"/>
  <sheetViews>
    <sheetView topLeftCell="P1" workbookViewId="0">
      <selection activeCell="CW1" sqref="CW1"/>
    </sheetView>
  </sheetViews>
  <sheetFormatPr baseColWidth="10" defaultColWidth="11" defaultRowHeight="16" x14ac:dyDescent="0.2"/>
  <sheetData>
    <row r="1" spans="1:102" ht="99" x14ac:dyDescent="0.2">
      <c r="B1" s="6" t="s">
        <v>155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  <c r="M1" s="6" t="s">
        <v>166</v>
      </c>
      <c r="N1" s="6" t="s">
        <v>167</v>
      </c>
      <c r="O1" s="6" t="s">
        <v>168</v>
      </c>
      <c r="P1" s="6" t="s">
        <v>169</v>
      </c>
      <c r="Q1" s="6" t="s">
        <v>170</v>
      </c>
      <c r="R1" s="6" t="s">
        <v>171</v>
      </c>
      <c r="S1" s="6" t="s">
        <v>172</v>
      </c>
      <c r="T1" s="6" t="s">
        <v>173</v>
      </c>
      <c r="U1" s="6" t="s">
        <v>174</v>
      </c>
      <c r="V1" s="6" t="s">
        <v>175</v>
      </c>
      <c r="W1" s="6" t="s">
        <v>176</v>
      </c>
      <c r="X1" s="6" t="s">
        <v>177</v>
      </c>
      <c r="Y1" s="6" t="s">
        <v>178</v>
      </c>
      <c r="Z1" s="6" t="s">
        <v>179</v>
      </c>
      <c r="AA1" s="6" t="s">
        <v>180</v>
      </c>
      <c r="AB1" s="6" t="s">
        <v>181</v>
      </c>
      <c r="AC1" s="6" t="s">
        <v>182</v>
      </c>
      <c r="AD1" s="6" t="s">
        <v>183</v>
      </c>
      <c r="AE1" s="6" t="s">
        <v>184</v>
      </c>
      <c r="AF1" s="6" t="s">
        <v>185</v>
      </c>
      <c r="AG1" s="6" t="s">
        <v>186</v>
      </c>
      <c r="AH1" s="6" t="s">
        <v>187</v>
      </c>
      <c r="AI1" s="6" t="s">
        <v>188</v>
      </c>
      <c r="AJ1" s="6" t="s">
        <v>189</v>
      </c>
      <c r="AK1" s="6" t="s">
        <v>190</v>
      </c>
      <c r="AL1" s="6" t="s">
        <v>191</v>
      </c>
      <c r="AM1" s="6" t="s">
        <v>192</v>
      </c>
      <c r="AN1" s="6" t="s">
        <v>193</v>
      </c>
      <c r="AO1" s="6" t="s">
        <v>194</v>
      </c>
      <c r="AP1" s="6" t="s">
        <v>195</v>
      </c>
      <c r="AQ1" s="6" t="s">
        <v>196</v>
      </c>
      <c r="AR1" s="6" t="s">
        <v>197</v>
      </c>
      <c r="AS1" s="6" t="s">
        <v>198</v>
      </c>
      <c r="AT1" s="6" t="s">
        <v>199</v>
      </c>
      <c r="AU1" s="6" t="s">
        <v>200</v>
      </c>
      <c r="AV1" s="6" t="s">
        <v>201</v>
      </c>
      <c r="AW1" s="6" t="s">
        <v>202</v>
      </c>
      <c r="AX1" s="6" t="s">
        <v>203</v>
      </c>
      <c r="AY1" s="6" t="s">
        <v>204</v>
      </c>
      <c r="AZ1" s="6" t="s">
        <v>205</v>
      </c>
      <c r="BA1" s="6" t="s">
        <v>206</v>
      </c>
      <c r="BB1" s="6" t="s">
        <v>207</v>
      </c>
      <c r="BC1" s="6" t="s">
        <v>208</v>
      </c>
      <c r="BD1" s="6" t="s">
        <v>209</v>
      </c>
      <c r="BE1" s="6" t="s">
        <v>210</v>
      </c>
      <c r="BF1" s="6" t="s">
        <v>211</v>
      </c>
      <c r="BG1" s="6" t="s">
        <v>212</v>
      </c>
      <c r="BH1" s="6" t="s">
        <v>213</v>
      </c>
      <c r="BI1" s="6" t="s">
        <v>214</v>
      </c>
      <c r="BJ1" s="6" t="s">
        <v>215</v>
      </c>
      <c r="BK1" s="6" t="s">
        <v>216</v>
      </c>
      <c r="BL1" s="6" t="s">
        <v>217</v>
      </c>
      <c r="BM1" s="6" t="s">
        <v>218</v>
      </c>
      <c r="BN1" s="6" t="s">
        <v>219</v>
      </c>
      <c r="BO1" s="6" t="s">
        <v>220</v>
      </c>
      <c r="BP1" s="6" t="s">
        <v>221</v>
      </c>
      <c r="BQ1" s="6" t="s">
        <v>222</v>
      </c>
      <c r="BR1" s="6" t="s">
        <v>223</v>
      </c>
      <c r="BS1" s="6" t="s">
        <v>224</v>
      </c>
      <c r="BT1" s="6" t="s">
        <v>225</v>
      </c>
      <c r="BU1" s="6" t="s">
        <v>226</v>
      </c>
      <c r="BV1" s="6" t="s">
        <v>227</v>
      </c>
      <c r="BW1" s="6" t="s">
        <v>228</v>
      </c>
      <c r="BX1" s="6" t="s">
        <v>229</v>
      </c>
      <c r="BY1" s="6" t="s">
        <v>230</v>
      </c>
      <c r="BZ1" s="6" t="s">
        <v>231</v>
      </c>
      <c r="CA1" s="6" t="s">
        <v>232</v>
      </c>
      <c r="CB1" s="6" t="s">
        <v>233</v>
      </c>
      <c r="CC1" s="6" t="s">
        <v>234</v>
      </c>
      <c r="CD1" s="6" t="s">
        <v>235</v>
      </c>
      <c r="CE1" s="6" t="s">
        <v>236</v>
      </c>
      <c r="CF1" s="6" t="s">
        <v>237</v>
      </c>
      <c r="CG1" s="6" t="s">
        <v>238</v>
      </c>
      <c r="CH1" s="6" t="s">
        <v>239</v>
      </c>
      <c r="CI1" s="6" t="s">
        <v>240</v>
      </c>
      <c r="CJ1" s="6" t="s">
        <v>241</v>
      </c>
      <c r="CK1" s="6" t="s">
        <v>242</v>
      </c>
      <c r="CL1" s="6" t="s">
        <v>243</v>
      </c>
      <c r="CM1" s="6" t="s">
        <v>244</v>
      </c>
      <c r="CN1" s="6" t="s">
        <v>245</v>
      </c>
      <c r="CO1" s="6" t="s">
        <v>246</v>
      </c>
      <c r="CP1" s="6" t="s">
        <v>247</v>
      </c>
      <c r="CQ1" s="6" t="s">
        <v>248</v>
      </c>
      <c r="CR1" s="6" t="s">
        <v>249</v>
      </c>
      <c r="CS1" s="6" t="s">
        <v>250</v>
      </c>
      <c r="CT1" s="6" t="s">
        <v>251</v>
      </c>
      <c r="CU1" s="6" t="s">
        <v>252</v>
      </c>
      <c r="CV1" s="6" t="s">
        <v>253</v>
      </c>
      <c r="CW1" s="10" t="s">
        <v>277</v>
      </c>
      <c r="CX1" s="10" t="s">
        <v>278</v>
      </c>
    </row>
    <row r="2" spans="1:102" x14ac:dyDescent="0.2">
      <c r="A2" t="s">
        <v>153</v>
      </c>
      <c r="B2">
        <v>9</v>
      </c>
      <c r="C2">
        <v>28</v>
      </c>
      <c r="D2">
        <v>54</v>
      </c>
      <c r="E2">
        <v>36</v>
      </c>
      <c r="F2">
        <v>11</v>
      </c>
      <c r="G2">
        <v>87</v>
      </c>
      <c r="H2">
        <v>51</v>
      </c>
      <c r="I2">
        <v>9</v>
      </c>
      <c r="J2">
        <v>49</v>
      </c>
      <c r="K2">
        <v>43</v>
      </c>
      <c r="L2">
        <v>42</v>
      </c>
      <c r="M2">
        <v>48</v>
      </c>
      <c r="N2">
        <v>51</v>
      </c>
      <c r="O2">
        <v>44</v>
      </c>
      <c r="P2">
        <v>42</v>
      </c>
      <c r="Q2">
        <v>3</v>
      </c>
      <c r="R2">
        <v>69</v>
      </c>
      <c r="S2">
        <v>48</v>
      </c>
      <c r="T2">
        <v>91</v>
      </c>
      <c r="U2">
        <v>78</v>
      </c>
      <c r="V2">
        <v>32</v>
      </c>
      <c r="W2">
        <v>13</v>
      </c>
      <c r="X2">
        <v>13</v>
      </c>
      <c r="Y2">
        <v>32</v>
      </c>
      <c r="Z2">
        <v>46</v>
      </c>
      <c r="AA2">
        <v>72</v>
      </c>
      <c r="AB2">
        <v>15</v>
      </c>
      <c r="AC2">
        <v>72</v>
      </c>
      <c r="AD2">
        <v>58</v>
      </c>
      <c r="AE2">
        <v>75</v>
      </c>
      <c r="AF2">
        <v>77</v>
      </c>
      <c r="AG2">
        <v>19</v>
      </c>
      <c r="AH2">
        <v>21</v>
      </c>
      <c r="AI2">
        <v>32</v>
      </c>
      <c r="AJ2">
        <v>79</v>
      </c>
      <c r="AK2">
        <v>71</v>
      </c>
      <c r="AL2">
        <v>9</v>
      </c>
      <c r="AM2">
        <v>11</v>
      </c>
      <c r="AN2">
        <v>4</v>
      </c>
      <c r="AO2">
        <v>37</v>
      </c>
      <c r="AP2">
        <v>13</v>
      </c>
      <c r="AQ2">
        <v>12</v>
      </c>
      <c r="AR2">
        <v>19</v>
      </c>
      <c r="AS2">
        <v>19</v>
      </c>
      <c r="AT2">
        <v>18</v>
      </c>
      <c r="AU2">
        <v>9</v>
      </c>
      <c r="AV2">
        <v>11</v>
      </c>
      <c r="AW2">
        <v>11</v>
      </c>
      <c r="AX2">
        <v>3</v>
      </c>
      <c r="AY2">
        <v>17</v>
      </c>
      <c r="AZ2">
        <v>19</v>
      </c>
      <c r="BA2">
        <v>18</v>
      </c>
      <c r="BB2">
        <v>2</v>
      </c>
      <c r="BC2">
        <v>70</v>
      </c>
      <c r="BD2">
        <v>62</v>
      </c>
      <c r="BE2">
        <v>57</v>
      </c>
      <c r="BF2">
        <v>1</v>
      </c>
      <c r="BG2">
        <v>1</v>
      </c>
      <c r="BH2">
        <v>1</v>
      </c>
      <c r="BI2">
        <v>7</v>
      </c>
      <c r="BJ2">
        <v>7</v>
      </c>
      <c r="BK2">
        <v>1</v>
      </c>
      <c r="BL2">
        <v>2</v>
      </c>
      <c r="BM2">
        <v>2</v>
      </c>
      <c r="BN2">
        <v>2</v>
      </c>
      <c r="BO2">
        <v>2</v>
      </c>
      <c r="BP2">
        <v>1</v>
      </c>
      <c r="BQ2">
        <v>2</v>
      </c>
      <c r="BR2">
        <v>2</v>
      </c>
      <c r="BS2">
        <v>2</v>
      </c>
      <c r="BT2">
        <v>9</v>
      </c>
      <c r="BU2">
        <v>26</v>
      </c>
      <c r="BV2">
        <v>28</v>
      </c>
      <c r="BW2">
        <v>9</v>
      </c>
      <c r="BX2">
        <v>9</v>
      </c>
      <c r="BY2">
        <v>1</v>
      </c>
      <c r="BZ2">
        <v>2</v>
      </c>
      <c r="CA2">
        <v>2</v>
      </c>
      <c r="CB2">
        <v>10</v>
      </c>
      <c r="CC2">
        <v>4</v>
      </c>
      <c r="CD2">
        <v>4</v>
      </c>
      <c r="CE2">
        <v>3</v>
      </c>
      <c r="CF2">
        <v>3</v>
      </c>
      <c r="CG2">
        <v>3</v>
      </c>
      <c r="CH2">
        <v>14</v>
      </c>
      <c r="CI2">
        <v>1</v>
      </c>
      <c r="CJ2">
        <v>3</v>
      </c>
      <c r="CK2">
        <v>4</v>
      </c>
      <c r="CL2">
        <v>3</v>
      </c>
      <c r="CM2">
        <v>3</v>
      </c>
      <c r="CN2">
        <v>3</v>
      </c>
      <c r="CO2">
        <v>4</v>
      </c>
      <c r="CP2">
        <v>14</v>
      </c>
      <c r="CQ2">
        <v>14</v>
      </c>
      <c r="CR2">
        <v>14</v>
      </c>
      <c r="CS2">
        <v>14</v>
      </c>
      <c r="CT2">
        <v>14</v>
      </c>
      <c r="CU2">
        <v>1</v>
      </c>
      <c r="CV2">
        <v>1</v>
      </c>
      <c r="CW2">
        <f>SUM(B2:CV2)/99</f>
        <v>23.171717171717173</v>
      </c>
      <c r="CX2">
        <f>SUM(B2:CV2)/100</f>
        <v>22.94</v>
      </c>
    </row>
    <row r="3" spans="1:102" x14ac:dyDescent="0.2">
      <c r="A3" t="s">
        <v>154</v>
      </c>
      <c r="B3">
        <v>9</v>
      </c>
      <c r="C3">
        <v>28</v>
      </c>
      <c r="D3">
        <v>54</v>
      </c>
      <c r="E3">
        <v>36</v>
      </c>
      <c r="F3">
        <v>11</v>
      </c>
      <c r="G3">
        <v>87</v>
      </c>
      <c r="H3">
        <v>51</v>
      </c>
      <c r="I3">
        <v>9</v>
      </c>
      <c r="J3">
        <v>49</v>
      </c>
      <c r="K3">
        <v>43</v>
      </c>
      <c r="L3">
        <v>42</v>
      </c>
      <c r="M3">
        <v>48</v>
      </c>
      <c r="N3">
        <v>51</v>
      </c>
      <c r="O3">
        <v>44</v>
      </c>
      <c r="P3">
        <v>42</v>
      </c>
      <c r="Q3">
        <v>3</v>
      </c>
      <c r="R3">
        <v>69</v>
      </c>
      <c r="S3">
        <v>48</v>
      </c>
      <c r="T3">
        <v>91</v>
      </c>
      <c r="U3">
        <v>78</v>
      </c>
      <c r="V3">
        <v>32</v>
      </c>
      <c r="W3">
        <v>13</v>
      </c>
      <c r="X3">
        <v>13</v>
      </c>
      <c r="Y3">
        <v>32</v>
      </c>
      <c r="Z3">
        <v>46</v>
      </c>
      <c r="AA3">
        <v>72</v>
      </c>
      <c r="AB3">
        <v>15</v>
      </c>
      <c r="AC3">
        <v>72</v>
      </c>
      <c r="AD3">
        <v>58</v>
      </c>
      <c r="AE3">
        <v>75</v>
      </c>
      <c r="AF3">
        <v>77</v>
      </c>
      <c r="AG3">
        <v>19</v>
      </c>
      <c r="AH3">
        <v>21</v>
      </c>
      <c r="AI3">
        <v>32</v>
      </c>
      <c r="AJ3">
        <v>79</v>
      </c>
      <c r="AK3">
        <v>71</v>
      </c>
      <c r="AL3">
        <v>9</v>
      </c>
      <c r="AM3">
        <v>11</v>
      </c>
      <c r="AN3">
        <v>4</v>
      </c>
      <c r="AO3">
        <v>37</v>
      </c>
      <c r="AP3">
        <v>13</v>
      </c>
      <c r="AQ3">
        <v>12</v>
      </c>
      <c r="AR3">
        <v>19</v>
      </c>
      <c r="AS3">
        <v>19</v>
      </c>
      <c r="AT3">
        <v>18</v>
      </c>
      <c r="AU3">
        <v>9</v>
      </c>
      <c r="AV3">
        <v>11</v>
      </c>
      <c r="AW3">
        <v>11</v>
      </c>
      <c r="AX3">
        <v>3</v>
      </c>
      <c r="AY3">
        <v>17</v>
      </c>
      <c r="AZ3">
        <v>19</v>
      </c>
      <c r="BA3">
        <v>18</v>
      </c>
      <c r="BB3">
        <v>2</v>
      </c>
      <c r="BC3">
        <v>70</v>
      </c>
      <c r="BD3">
        <v>62</v>
      </c>
      <c r="BE3">
        <v>57</v>
      </c>
      <c r="BF3">
        <v>1</v>
      </c>
      <c r="BG3">
        <v>1</v>
      </c>
      <c r="BH3">
        <v>1</v>
      </c>
      <c r="BI3">
        <v>7</v>
      </c>
      <c r="BJ3">
        <v>7</v>
      </c>
      <c r="BK3">
        <v>1</v>
      </c>
      <c r="BL3">
        <v>2</v>
      </c>
      <c r="BM3">
        <v>2</v>
      </c>
      <c r="BN3">
        <v>2</v>
      </c>
      <c r="BO3">
        <v>2</v>
      </c>
      <c r="BP3">
        <v>1</v>
      </c>
      <c r="BQ3">
        <v>2</v>
      </c>
      <c r="BR3">
        <v>2</v>
      </c>
      <c r="BS3">
        <v>2</v>
      </c>
      <c r="BT3">
        <v>9</v>
      </c>
      <c r="BU3">
        <v>26</v>
      </c>
      <c r="BV3">
        <v>28</v>
      </c>
      <c r="BW3">
        <v>9</v>
      </c>
      <c r="BX3">
        <v>9</v>
      </c>
      <c r="BY3">
        <v>1</v>
      </c>
      <c r="BZ3">
        <v>2</v>
      </c>
      <c r="CA3">
        <v>2</v>
      </c>
      <c r="CB3">
        <v>10</v>
      </c>
      <c r="CC3">
        <v>4</v>
      </c>
      <c r="CD3">
        <v>4</v>
      </c>
      <c r="CE3">
        <v>3</v>
      </c>
      <c r="CF3">
        <v>3</v>
      </c>
      <c r="CG3">
        <v>3</v>
      </c>
      <c r="CH3">
        <v>14</v>
      </c>
      <c r="CI3">
        <v>1</v>
      </c>
      <c r="CJ3">
        <v>3</v>
      </c>
      <c r="CK3">
        <v>4</v>
      </c>
      <c r="CL3">
        <v>3</v>
      </c>
      <c r="CM3">
        <v>3</v>
      </c>
      <c r="CN3">
        <v>3</v>
      </c>
      <c r="CO3">
        <v>4</v>
      </c>
      <c r="CP3">
        <v>14</v>
      </c>
      <c r="CQ3">
        <v>14</v>
      </c>
      <c r="CR3">
        <v>14</v>
      </c>
      <c r="CS3">
        <v>14</v>
      </c>
      <c r="CT3">
        <v>14</v>
      </c>
      <c r="CU3">
        <v>1</v>
      </c>
      <c r="CV3">
        <v>1</v>
      </c>
      <c r="CW3">
        <f>SUM(B3:CV3)/99</f>
        <v>23.171717171717173</v>
      </c>
      <c r="CX3">
        <f>SUM(B3:CV3)/100</f>
        <v>22.94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7482-4BCC-F34B-8112-960004502461}">
  <dimension ref="A1:CY103"/>
  <sheetViews>
    <sheetView workbookViewId="0">
      <pane xSplit="3" ySplit="2" topLeftCell="BV3" activePane="bottomRight" state="frozen"/>
      <selection pane="topRight"/>
      <selection pane="bottomLeft"/>
      <selection pane="bottomRight" activeCell="D2" sqref="D2:CX2"/>
    </sheetView>
  </sheetViews>
  <sheetFormatPr baseColWidth="10" defaultColWidth="8.83203125" defaultRowHeight="15" x14ac:dyDescent="0.2"/>
  <cols>
    <col min="1" max="1" width="5.33203125" style="22" bestFit="1" customWidth="1"/>
    <col min="2" max="2" width="25.1640625" style="22" bestFit="1" customWidth="1"/>
    <col min="3" max="3" width="12.1640625" style="22" bestFit="1" customWidth="1"/>
    <col min="4" max="14" width="6" style="22" bestFit="1" customWidth="1"/>
    <col min="15" max="15" width="8.5" style="22" bestFit="1" customWidth="1"/>
    <col min="16" max="17" width="6" style="22" bestFit="1" customWidth="1"/>
    <col min="18" max="18" width="8.5" style="22" bestFit="1" customWidth="1"/>
    <col min="19" max="21" width="6" style="22" bestFit="1" customWidth="1"/>
    <col min="22" max="22" width="3.5" style="22" bestFit="1" customWidth="1"/>
    <col min="23" max="32" width="6" style="22" bestFit="1" customWidth="1"/>
    <col min="33" max="38" width="3.5" style="22" bestFit="1" customWidth="1"/>
    <col min="39" max="39" width="6" style="22" bestFit="1" customWidth="1"/>
    <col min="40" max="40" width="13.33203125" style="22" bestFit="1" customWidth="1"/>
    <col min="41" max="42" width="8.5" style="22" bestFit="1" customWidth="1"/>
    <col min="43" max="43" width="6" style="22" bestFit="1" customWidth="1"/>
    <col min="44" max="49" width="8.5" style="22" bestFit="1" customWidth="1"/>
    <col min="50" max="50" width="11" style="22" bestFit="1" customWidth="1"/>
    <col min="51" max="53" width="8.5" style="22" bestFit="1" customWidth="1"/>
    <col min="54" max="55" width="6" style="22" bestFit="1" customWidth="1"/>
    <col min="56" max="56" width="8.5" style="22" bestFit="1" customWidth="1"/>
    <col min="57" max="59" width="6" style="22" bestFit="1" customWidth="1"/>
    <col min="60" max="82" width="8.5" style="22" bestFit="1" customWidth="1"/>
    <col min="83" max="83" width="6" style="22" bestFit="1" customWidth="1"/>
    <col min="84" max="84" width="8.5" style="22" bestFit="1" customWidth="1"/>
    <col min="85" max="86" width="6" style="22" bestFit="1" customWidth="1"/>
    <col min="87" max="87" width="8.5" style="22" bestFit="1" customWidth="1"/>
    <col min="88" max="88" width="6" style="22" bestFit="1" customWidth="1"/>
    <col min="89" max="89" width="8.5" style="22" bestFit="1" customWidth="1"/>
    <col min="90" max="91" width="6" style="22" bestFit="1" customWidth="1"/>
    <col min="92" max="92" width="8.5" style="22" bestFit="1" customWidth="1"/>
    <col min="93" max="94" width="6" style="22" bestFit="1" customWidth="1"/>
    <col min="95" max="97" width="8.5" style="22" bestFit="1" customWidth="1"/>
    <col min="98" max="98" width="6" style="22" bestFit="1" customWidth="1"/>
    <col min="99" max="101" width="8.5" style="22" bestFit="1" customWidth="1"/>
    <col min="102" max="102" width="6" style="22" bestFit="1" customWidth="1"/>
    <col min="103" max="103" width="6.1640625" style="22" bestFit="1" customWidth="1"/>
    <col min="104" max="16384" width="8.83203125" style="22"/>
  </cols>
  <sheetData>
    <row r="1" spans="1:103" ht="24" customHeight="1" x14ac:dyDescent="0.2">
      <c r="A1" s="20" t="s">
        <v>294</v>
      </c>
      <c r="B1" s="20" t="s">
        <v>295</v>
      </c>
      <c r="C1" s="20" t="s">
        <v>296</v>
      </c>
      <c r="D1" s="21" t="s">
        <v>138</v>
      </c>
      <c r="E1" s="21"/>
      <c r="F1" s="21"/>
      <c r="G1" s="21"/>
      <c r="H1" s="21"/>
      <c r="I1" s="21"/>
      <c r="J1" s="21"/>
      <c r="K1" s="21"/>
      <c r="L1" s="21" t="s">
        <v>139</v>
      </c>
      <c r="M1" s="21"/>
      <c r="N1" s="21" t="s">
        <v>140</v>
      </c>
      <c r="O1" s="21"/>
      <c r="P1" s="21"/>
      <c r="Q1" s="21" t="s">
        <v>141</v>
      </c>
      <c r="R1" s="21"/>
      <c r="S1" s="21"/>
      <c r="T1" s="21"/>
      <c r="U1" s="21"/>
      <c r="V1" s="21" t="s">
        <v>142</v>
      </c>
      <c r="W1" s="21"/>
      <c r="X1" s="21" t="s">
        <v>143</v>
      </c>
      <c r="Y1" s="21"/>
      <c r="Z1" s="21"/>
      <c r="AA1" s="21"/>
      <c r="AB1" s="21"/>
      <c r="AC1" s="21"/>
      <c r="AD1" s="21"/>
      <c r="AE1" s="21"/>
      <c r="AF1" s="21" t="s">
        <v>144</v>
      </c>
      <c r="AG1" s="21"/>
      <c r="AH1" s="21"/>
      <c r="AI1" s="21"/>
      <c r="AJ1" s="21"/>
      <c r="AK1" s="21" t="s">
        <v>145</v>
      </c>
      <c r="AL1" s="21"/>
      <c r="AM1" s="21"/>
      <c r="AN1" s="20" t="s">
        <v>146</v>
      </c>
      <c r="AO1" s="21" t="s">
        <v>147</v>
      </c>
      <c r="AP1" s="21"/>
      <c r="AQ1" s="21"/>
      <c r="AR1" s="21" t="s">
        <v>148</v>
      </c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 t="s">
        <v>149</v>
      </c>
      <c r="BD1" s="21"/>
      <c r="BE1" s="21"/>
      <c r="BF1" s="21"/>
      <c r="BG1" s="21"/>
      <c r="BH1" s="21" t="s">
        <v>150</v>
      </c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 t="s">
        <v>151</v>
      </c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 t="s">
        <v>152</v>
      </c>
      <c r="CX1" s="21"/>
    </row>
    <row r="2" spans="1:103" ht="110" customHeight="1" x14ac:dyDescent="0.2">
      <c r="A2" s="23" t="s">
        <v>294</v>
      </c>
      <c r="B2" s="23" t="s">
        <v>295</v>
      </c>
      <c r="C2" s="23" t="s">
        <v>296</v>
      </c>
      <c r="D2" s="24" t="s">
        <v>155</v>
      </c>
      <c r="E2" s="24" t="s">
        <v>156</v>
      </c>
      <c r="F2" s="24" t="s">
        <v>157</v>
      </c>
      <c r="G2" s="24" t="s">
        <v>158</v>
      </c>
      <c r="H2" s="24" t="s">
        <v>159</v>
      </c>
      <c r="I2" s="24" t="s">
        <v>160</v>
      </c>
      <c r="J2" s="24" t="s">
        <v>161</v>
      </c>
      <c r="K2" s="24" t="s">
        <v>162</v>
      </c>
      <c r="L2" s="24" t="s">
        <v>163</v>
      </c>
      <c r="M2" s="24" t="s">
        <v>164</v>
      </c>
      <c r="N2" s="24" t="s">
        <v>165</v>
      </c>
      <c r="O2" s="24" t="s">
        <v>166</v>
      </c>
      <c r="P2" s="24" t="s">
        <v>167</v>
      </c>
      <c r="Q2" s="24" t="s">
        <v>168</v>
      </c>
      <c r="R2" s="24" t="s">
        <v>169</v>
      </c>
      <c r="S2" s="24" t="s">
        <v>170</v>
      </c>
      <c r="T2" s="24" t="s">
        <v>171</v>
      </c>
      <c r="U2" s="24" t="s">
        <v>172</v>
      </c>
      <c r="V2" s="24" t="s">
        <v>173</v>
      </c>
      <c r="W2" s="24" t="s">
        <v>174</v>
      </c>
      <c r="X2" s="24" t="s">
        <v>175</v>
      </c>
      <c r="Y2" s="24" t="s">
        <v>176</v>
      </c>
      <c r="Z2" s="24" t="s">
        <v>177</v>
      </c>
      <c r="AA2" s="24" t="s">
        <v>178</v>
      </c>
      <c r="AB2" s="24" t="s">
        <v>179</v>
      </c>
      <c r="AC2" s="24" t="s">
        <v>180</v>
      </c>
      <c r="AD2" s="24" t="s">
        <v>181</v>
      </c>
      <c r="AE2" s="24" t="s">
        <v>182</v>
      </c>
      <c r="AF2" s="24" t="s">
        <v>183</v>
      </c>
      <c r="AG2" s="24" t="s">
        <v>184</v>
      </c>
      <c r="AH2" s="24" t="s">
        <v>185</v>
      </c>
      <c r="AI2" s="24" t="s">
        <v>186</v>
      </c>
      <c r="AJ2" s="24" t="s">
        <v>187</v>
      </c>
      <c r="AK2" s="24" t="s">
        <v>188</v>
      </c>
      <c r="AL2" s="24" t="s">
        <v>189</v>
      </c>
      <c r="AM2" s="24" t="s">
        <v>190</v>
      </c>
      <c r="AN2" s="24" t="s">
        <v>191</v>
      </c>
      <c r="AO2" s="24" t="s">
        <v>192</v>
      </c>
      <c r="AP2" s="24" t="s">
        <v>193</v>
      </c>
      <c r="AQ2" s="24" t="s">
        <v>194</v>
      </c>
      <c r="AR2" s="24" t="s">
        <v>195</v>
      </c>
      <c r="AS2" s="24" t="s">
        <v>196</v>
      </c>
      <c r="AT2" s="24" t="s">
        <v>197</v>
      </c>
      <c r="AU2" s="24" t="s">
        <v>198</v>
      </c>
      <c r="AV2" s="24" t="s">
        <v>199</v>
      </c>
      <c r="AW2" s="24" t="s">
        <v>200</v>
      </c>
      <c r="AX2" s="24" t="s">
        <v>201</v>
      </c>
      <c r="AY2" s="24" t="s">
        <v>202</v>
      </c>
      <c r="AZ2" s="24" t="s">
        <v>203</v>
      </c>
      <c r="BA2" s="24" t="s">
        <v>204</v>
      </c>
      <c r="BB2" s="24" t="s">
        <v>205</v>
      </c>
      <c r="BC2" s="24" t="s">
        <v>206</v>
      </c>
      <c r="BD2" s="24" t="s">
        <v>207</v>
      </c>
      <c r="BE2" s="24" t="s">
        <v>208</v>
      </c>
      <c r="BF2" s="24" t="s">
        <v>209</v>
      </c>
      <c r="BG2" s="24" t="s">
        <v>210</v>
      </c>
      <c r="BH2" s="24" t="s">
        <v>211</v>
      </c>
      <c r="BI2" s="24" t="s">
        <v>212</v>
      </c>
      <c r="BJ2" s="24" t="s">
        <v>213</v>
      </c>
      <c r="BK2" s="24" t="s">
        <v>214</v>
      </c>
      <c r="BL2" s="24" t="s">
        <v>215</v>
      </c>
      <c r="BM2" s="24" t="s">
        <v>216</v>
      </c>
      <c r="BN2" s="24" t="s">
        <v>217</v>
      </c>
      <c r="BO2" s="24" t="s">
        <v>218</v>
      </c>
      <c r="BP2" s="24" t="s">
        <v>219</v>
      </c>
      <c r="BQ2" s="24" t="s">
        <v>220</v>
      </c>
      <c r="BR2" s="24" t="s">
        <v>221</v>
      </c>
      <c r="BS2" s="24" t="s">
        <v>222</v>
      </c>
      <c r="BT2" s="24" t="s">
        <v>223</v>
      </c>
      <c r="BU2" s="24" t="s">
        <v>224</v>
      </c>
      <c r="BV2" s="24" t="s">
        <v>225</v>
      </c>
      <c r="BW2" s="24" t="s">
        <v>226</v>
      </c>
      <c r="BX2" s="24" t="s">
        <v>227</v>
      </c>
      <c r="BY2" s="24" t="s">
        <v>228</v>
      </c>
      <c r="BZ2" s="24" t="s">
        <v>229</v>
      </c>
      <c r="CA2" s="24" t="s">
        <v>230</v>
      </c>
      <c r="CB2" s="24" t="s">
        <v>231</v>
      </c>
      <c r="CC2" s="24" t="s">
        <v>232</v>
      </c>
      <c r="CD2" s="24" t="s">
        <v>233</v>
      </c>
      <c r="CE2" s="24" t="s">
        <v>234</v>
      </c>
      <c r="CF2" s="24" t="s">
        <v>235</v>
      </c>
      <c r="CG2" s="24" t="s">
        <v>236</v>
      </c>
      <c r="CH2" s="24" t="s">
        <v>237</v>
      </c>
      <c r="CI2" s="24" t="s">
        <v>238</v>
      </c>
      <c r="CJ2" s="24" t="s">
        <v>239</v>
      </c>
      <c r="CK2" s="24" t="s">
        <v>240</v>
      </c>
      <c r="CL2" s="24" t="s">
        <v>241</v>
      </c>
      <c r="CM2" s="24" t="s">
        <v>242</v>
      </c>
      <c r="CN2" s="24" t="s">
        <v>243</v>
      </c>
      <c r="CO2" s="24" t="s">
        <v>244</v>
      </c>
      <c r="CP2" s="24" t="s">
        <v>245</v>
      </c>
      <c r="CQ2" s="24" t="s">
        <v>246</v>
      </c>
      <c r="CR2" s="24" t="s">
        <v>247</v>
      </c>
      <c r="CS2" s="24" t="s">
        <v>248</v>
      </c>
      <c r="CT2" s="24" t="s">
        <v>249</v>
      </c>
      <c r="CU2" s="24" t="s">
        <v>250</v>
      </c>
      <c r="CV2" s="24" t="s">
        <v>251</v>
      </c>
      <c r="CW2" s="24" t="s">
        <v>252</v>
      </c>
      <c r="CX2" s="24" t="s">
        <v>253</v>
      </c>
    </row>
    <row r="3" spans="1:103" x14ac:dyDescent="0.2">
      <c r="A3" s="25" t="s">
        <v>297</v>
      </c>
      <c r="B3" s="26" t="s">
        <v>298</v>
      </c>
      <c r="C3" s="25" t="s">
        <v>299</v>
      </c>
      <c r="D3" s="25"/>
      <c r="E3" s="25" t="s">
        <v>299</v>
      </c>
      <c r="F3" s="25" t="s">
        <v>299</v>
      </c>
      <c r="G3" s="25" t="s">
        <v>299</v>
      </c>
      <c r="H3" s="25"/>
      <c r="I3" s="25" t="s">
        <v>299</v>
      </c>
      <c r="J3" s="25"/>
      <c r="K3" s="25"/>
      <c r="L3" s="25" t="s">
        <v>299</v>
      </c>
      <c r="M3" s="25"/>
      <c r="N3" s="25" t="s">
        <v>299</v>
      </c>
      <c r="O3" s="25" t="s">
        <v>299</v>
      </c>
      <c r="P3" s="25" t="s">
        <v>299</v>
      </c>
      <c r="Q3" s="25" t="s">
        <v>299</v>
      </c>
      <c r="R3" s="25" t="s">
        <v>299</v>
      </c>
      <c r="S3" s="25" t="s">
        <v>299</v>
      </c>
      <c r="T3" s="25" t="s">
        <v>299</v>
      </c>
      <c r="U3" s="25" t="s">
        <v>299</v>
      </c>
      <c r="V3" s="25" t="s">
        <v>299</v>
      </c>
      <c r="W3" s="25" t="s">
        <v>299</v>
      </c>
      <c r="X3" s="25" t="s">
        <v>299</v>
      </c>
      <c r="Y3" s="25" t="s">
        <v>299</v>
      </c>
      <c r="Z3" s="25" t="s">
        <v>299</v>
      </c>
      <c r="AA3" s="25" t="s">
        <v>299</v>
      </c>
      <c r="AB3" s="25" t="s">
        <v>299</v>
      </c>
      <c r="AC3" s="25" t="s">
        <v>299</v>
      </c>
      <c r="AD3" s="25"/>
      <c r="AE3" s="25" t="s">
        <v>299</v>
      </c>
      <c r="AF3" s="25" t="s">
        <v>299</v>
      </c>
      <c r="AG3" s="25" t="s">
        <v>299</v>
      </c>
      <c r="AH3" s="25" t="s">
        <v>299</v>
      </c>
      <c r="AI3" s="25" t="s">
        <v>299</v>
      </c>
      <c r="AJ3" s="25" t="s">
        <v>299</v>
      </c>
      <c r="AK3" s="25" t="s">
        <v>299</v>
      </c>
      <c r="AL3" s="25" t="s">
        <v>299</v>
      </c>
      <c r="AM3" s="25" t="s">
        <v>299</v>
      </c>
      <c r="AN3" s="25" t="s">
        <v>299</v>
      </c>
      <c r="AO3" s="25" t="s">
        <v>299</v>
      </c>
      <c r="AP3" s="25" t="s">
        <v>299</v>
      </c>
      <c r="AQ3" s="25" t="s">
        <v>299</v>
      </c>
      <c r="AR3" s="25"/>
      <c r="AS3" s="25"/>
      <c r="AT3" s="25" t="s">
        <v>299</v>
      </c>
      <c r="AU3" s="25" t="s">
        <v>299</v>
      </c>
      <c r="AV3" s="25"/>
      <c r="AW3" s="25"/>
      <c r="AX3" s="25"/>
      <c r="AY3" s="25"/>
      <c r="AZ3" s="25"/>
      <c r="BA3" s="25"/>
      <c r="BB3" s="25" t="s">
        <v>299</v>
      </c>
      <c r="BC3" s="25"/>
      <c r="BD3" s="25"/>
      <c r="BE3" s="25" t="s">
        <v>299</v>
      </c>
      <c r="BF3" s="25" t="s">
        <v>299</v>
      </c>
      <c r="BG3" s="25" t="s">
        <v>299</v>
      </c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 t="s">
        <v>299</v>
      </c>
      <c r="BX3" s="25" t="s">
        <v>299</v>
      </c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2">
        <f>COUNTIF(D3:CX3, "FP")</f>
        <v>42</v>
      </c>
    </row>
    <row r="4" spans="1:103" x14ac:dyDescent="0.2">
      <c r="A4" s="25" t="s">
        <v>300</v>
      </c>
      <c r="B4" s="26" t="s">
        <v>301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2">
        <f t="shared" ref="CY4:CY67" si="0">COUNTIF(D4:CX4, "FP")</f>
        <v>0</v>
      </c>
    </row>
    <row r="5" spans="1:103" x14ac:dyDescent="0.2">
      <c r="A5" s="25" t="s">
        <v>302</v>
      </c>
      <c r="B5" s="26" t="s">
        <v>303</v>
      </c>
      <c r="C5" s="25" t="s">
        <v>299</v>
      </c>
      <c r="D5" s="25"/>
      <c r="E5" s="25"/>
      <c r="F5" s="25"/>
      <c r="G5" s="25" t="s">
        <v>299</v>
      </c>
      <c r="H5" s="25"/>
      <c r="I5" s="25" t="s">
        <v>299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 t="s">
        <v>299</v>
      </c>
      <c r="W5" s="25"/>
      <c r="X5" s="25"/>
      <c r="Y5" s="25"/>
      <c r="Z5" s="25"/>
      <c r="AA5" s="25"/>
      <c r="AB5" s="25"/>
      <c r="AC5" s="25"/>
      <c r="AD5" s="25"/>
      <c r="AE5" s="25"/>
      <c r="AF5" s="25" t="s">
        <v>299</v>
      </c>
      <c r="AG5" s="25" t="s">
        <v>299</v>
      </c>
      <c r="AH5" s="25" t="s">
        <v>299</v>
      </c>
      <c r="AI5" s="25"/>
      <c r="AJ5" s="25"/>
      <c r="AK5" s="25"/>
      <c r="AL5" s="25"/>
      <c r="AM5" s="25" t="s">
        <v>299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 t="s">
        <v>299</v>
      </c>
      <c r="BF5" s="25" t="s">
        <v>299</v>
      </c>
      <c r="BG5" s="25" t="s">
        <v>299</v>
      </c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2">
        <f t="shared" si="0"/>
        <v>10</v>
      </c>
    </row>
    <row r="6" spans="1:103" x14ac:dyDescent="0.2">
      <c r="A6" s="25" t="s">
        <v>304</v>
      </c>
      <c r="B6" s="26" t="s">
        <v>305</v>
      </c>
      <c r="C6" s="25" t="s">
        <v>299</v>
      </c>
      <c r="D6" s="25"/>
      <c r="E6" s="25"/>
      <c r="F6" s="25"/>
      <c r="G6" s="25"/>
      <c r="H6" s="25"/>
      <c r="I6" s="25" t="s">
        <v>299</v>
      </c>
      <c r="J6" s="25" t="s">
        <v>299</v>
      </c>
      <c r="K6" s="25"/>
      <c r="L6" s="25" t="s">
        <v>299</v>
      </c>
      <c r="M6" s="25" t="s">
        <v>299</v>
      </c>
      <c r="N6" s="25"/>
      <c r="O6" s="25"/>
      <c r="P6" s="25"/>
      <c r="Q6" s="25" t="s">
        <v>299</v>
      </c>
      <c r="R6" s="25"/>
      <c r="S6" s="25"/>
      <c r="T6" s="25"/>
      <c r="U6" s="25"/>
      <c r="V6" s="25" t="s">
        <v>299</v>
      </c>
      <c r="W6" s="25" t="s">
        <v>299</v>
      </c>
      <c r="X6" s="25"/>
      <c r="Y6" s="25"/>
      <c r="Z6" s="25"/>
      <c r="AA6" s="25"/>
      <c r="AB6" s="25"/>
      <c r="AC6" s="25" t="s">
        <v>299</v>
      </c>
      <c r="AD6" s="25"/>
      <c r="AE6" s="25" t="s">
        <v>299</v>
      </c>
      <c r="AF6" s="25"/>
      <c r="AG6" s="25" t="s">
        <v>299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2">
        <f t="shared" si="0"/>
        <v>10</v>
      </c>
    </row>
    <row r="7" spans="1:103" x14ac:dyDescent="0.2">
      <c r="A7" s="25" t="s">
        <v>306</v>
      </c>
      <c r="B7" s="26" t="s">
        <v>307</v>
      </c>
      <c r="C7" s="25" t="s">
        <v>299</v>
      </c>
      <c r="D7" s="25"/>
      <c r="E7" s="25"/>
      <c r="F7" s="25" t="s">
        <v>299</v>
      </c>
      <c r="G7" s="25"/>
      <c r="H7" s="25"/>
      <c r="I7" s="25"/>
      <c r="J7" s="25"/>
      <c r="K7" s="25"/>
      <c r="L7" s="25"/>
      <c r="M7" s="25"/>
      <c r="N7" s="25" t="s">
        <v>299</v>
      </c>
      <c r="O7" s="25" t="s">
        <v>299</v>
      </c>
      <c r="P7" s="25"/>
      <c r="Q7" s="25"/>
      <c r="R7" s="25"/>
      <c r="S7" s="25"/>
      <c r="T7" s="25"/>
      <c r="U7" s="25"/>
      <c r="V7" s="25" t="s">
        <v>299</v>
      </c>
      <c r="W7" s="25"/>
      <c r="X7" s="25"/>
      <c r="Y7" s="25"/>
      <c r="Z7" s="25"/>
      <c r="AA7" s="25"/>
      <c r="AB7" s="25"/>
      <c r="AC7" s="25" t="s">
        <v>299</v>
      </c>
      <c r="AD7" s="25"/>
      <c r="AE7" s="25" t="s">
        <v>299</v>
      </c>
      <c r="AF7" s="25" t="s">
        <v>299</v>
      </c>
      <c r="AG7" s="25" t="s">
        <v>299</v>
      </c>
      <c r="AH7" s="25" t="s">
        <v>299</v>
      </c>
      <c r="AI7" s="25"/>
      <c r="AJ7" s="25" t="s">
        <v>299</v>
      </c>
      <c r="AK7" s="25"/>
      <c r="AL7" s="25"/>
      <c r="AM7" s="25" t="s">
        <v>299</v>
      </c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 t="s">
        <v>299</v>
      </c>
      <c r="BX7" s="25" t="s">
        <v>299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2">
        <f t="shared" si="0"/>
        <v>13</v>
      </c>
    </row>
    <row r="8" spans="1:103" x14ac:dyDescent="0.2">
      <c r="A8" s="25" t="s">
        <v>308</v>
      </c>
      <c r="B8" s="26" t="s">
        <v>309</v>
      </c>
      <c r="C8" s="25" t="s">
        <v>299</v>
      </c>
      <c r="D8" s="25"/>
      <c r="E8" s="25"/>
      <c r="F8" s="25"/>
      <c r="G8" s="25"/>
      <c r="H8" s="25"/>
      <c r="I8" s="25" t="s">
        <v>299</v>
      </c>
      <c r="J8" s="25" t="s">
        <v>299</v>
      </c>
      <c r="K8" s="25"/>
      <c r="L8" s="25"/>
      <c r="M8" s="25" t="s">
        <v>299</v>
      </c>
      <c r="N8" s="25"/>
      <c r="O8" s="25"/>
      <c r="P8" s="25"/>
      <c r="Q8" s="25" t="s">
        <v>299</v>
      </c>
      <c r="R8" s="25"/>
      <c r="S8" s="25"/>
      <c r="T8" s="25" t="s">
        <v>299</v>
      </c>
      <c r="U8" s="25"/>
      <c r="V8" s="25" t="s">
        <v>299</v>
      </c>
      <c r="W8" s="25" t="s">
        <v>299</v>
      </c>
      <c r="X8" s="25"/>
      <c r="Y8" s="25"/>
      <c r="Z8" s="25"/>
      <c r="AA8" s="25"/>
      <c r="AB8" s="25" t="s">
        <v>299</v>
      </c>
      <c r="AC8" s="25" t="s">
        <v>299</v>
      </c>
      <c r="AD8" s="25"/>
      <c r="AE8" s="25" t="s">
        <v>299</v>
      </c>
      <c r="AF8" s="25"/>
      <c r="AG8" s="25" t="s">
        <v>299</v>
      </c>
      <c r="AH8" s="25" t="s">
        <v>299</v>
      </c>
      <c r="AI8" s="25"/>
      <c r="AJ8" s="25"/>
      <c r="AK8" s="25"/>
      <c r="AL8" s="25" t="s">
        <v>299</v>
      </c>
      <c r="AM8" s="25" t="s">
        <v>299</v>
      </c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2">
        <f t="shared" si="0"/>
        <v>14</v>
      </c>
    </row>
    <row r="9" spans="1:103" x14ac:dyDescent="0.2">
      <c r="A9" s="25" t="s">
        <v>310</v>
      </c>
      <c r="B9" s="26" t="s">
        <v>311</v>
      </c>
      <c r="C9" s="25" t="s">
        <v>299</v>
      </c>
      <c r="D9" s="25"/>
      <c r="E9" s="25"/>
      <c r="F9" s="25" t="s">
        <v>299</v>
      </c>
      <c r="G9" s="25"/>
      <c r="H9" s="25"/>
      <c r="I9" s="25" t="s">
        <v>299</v>
      </c>
      <c r="J9" s="25" t="s">
        <v>299</v>
      </c>
      <c r="K9" s="25"/>
      <c r="L9" s="25"/>
      <c r="M9" s="25"/>
      <c r="N9" s="25"/>
      <c r="O9" s="25"/>
      <c r="P9" s="25" t="s">
        <v>299</v>
      </c>
      <c r="Q9" s="25" t="s">
        <v>299</v>
      </c>
      <c r="R9" s="25"/>
      <c r="S9" s="25"/>
      <c r="T9" s="25" t="s">
        <v>299</v>
      </c>
      <c r="U9" s="25"/>
      <c r="V9" s="25" t="s">
        <v>299</v>
      </c>
      <c r="W9" s="25" t="s">
        <v>299</v>
      </c>
      <c r="X9" s="25"/>
      <c r="Y9" s="25"/>
      <c r="Z9" s="25"/>
      <c r="AA9" s="25"/>
      <c r="AB9" s="25"/>
      <c r="AC9" s="25" t="s">
        <v>299</v>
      </c>
      <c r="AD9" s="25" t="s">
        <v>299</v>
      </c>
      <c r="AE9" s="25" t="s">
        <v>299</v>
      </c>
      <c r="AF9" s="25" t="s">
        <v>299</v>
      </c>
      <c r="AG9" s="25" t="s">
        <v>299</v>
      </c>
      <c r="AH9" s="25" t="s">
        <v>299</v>
      </c>
      <c r="AI9" s="25"/>
      <c r="AJ9" s="25"/>
      <c r="AK9" s="25"/>
      <c r="AL9" s="25" t="s">
        <v>299</v>
      </c>
      <c r="AM9" s="25" t="s">
        <v>299</v>
      </c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 t="s">
        <v>299</v>
      </c>
      <c r="BF9" s="25" t="s">
        <v>299</v>
      </c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2">
        <f t="shared" si="0"/>
        <v>18</v>
      </c>
    </row>
    <row r="10" spans="1:103" x14ac:dyDescent="0.2">
      <c r="A10" s="25" t="s">
        <v>312</v>
      </c>
      <c r="B10" s="26" t="s">
        <v>313</v>
      </c>
      <c r="C10" s="25" t="s">
        <v>299</v>
      </c>
      <c r="D10" s="25"/>
      <c r="E10" s="25"/>
      <c r="F10" s="25" t="s">
        <v>299</v>
      </c>
      <c r="G10" s="25" t="s">
        <v>299</v>
      </c>
      <c r="H10" s="25"/>
      <c r="I10" s="25" t="s">
        <v>299</v>
      </c>
      <c r="J10" s="25"/>
      <c r="K10" s="25"/>
      <c r="L10" s="25" t="s">
        <v>299</v>
      </c>
      <c r="M10" s="25"/>
      <c r="N10" s="25" t="s">
        <v>299</v>
      </c>
      <c r="O10" s="25" t="s">
        <v>299</v>
      </c>
      <c r="P10" s="25"/>
      <c r="Q10" s="25" t="s">
        <v>299</v>
      </c>
      <c r="R10" s="25"/>
      <c r="S10" s="25"/>
      <c r="T10" s="25" t="s">
        <v>299</v>
      </c>
      <c r="U10" s="25" t="s">
        <v>299</v>
      </c>
      <c r="V10" s="25" t="s">
        <v>299</v>
      </c>
      <c r="W10" s="25" t="s">
        <v>299</v>
      </c>
      <c r="X10" s="25"/>
      <c r="Y10" s="25"/>
      <c r="Z10" s="25"/>
      <c r="AA10" s="25"/>
      <c r="AB10" s="25" t="s">
        <v>299</v>
      </c>
      <c r="AC10" s="25" t="s">
        <v>299</v>
      </c>
      <c r="AD10" s="25" t="s">
        <v>299</v>
      </c>
      <c r="AE10" s="25" t="s">
        <v>299</v>
      </c>
      <c r="AF10" s="25" t="s">
        <v>299</v>
      </c>
      <c r="AG10" s="25" t="s">
        <v>299</v>
      </c>
      <c r="AH10" s="25" t="s">
        <v>299</v>
      </c>
      <c r="AI10" s="25" t="s">
        <v>299</v>
      </c>
      <c r="AJ10" s="25"/>
      <c r="AK10" s="25"/>
      <c r="AL10" s="25" t="s">
        <v>299</v>
      </c>
      <c r="AM10" s="25" t="s">
        <v>299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 t="s">
        <v>299</v>
      </c>
      <c r="BF10" s="25" t="s">
        <v>299</v>
      </c>
      <c r="BG10" s="25" t="s">
        <v>299</v>
      </c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2">
        <f t="shared" si="0"/>
        <v>24</v>
      </c>
    </row>
    <row r="11" spans="1:103" x14ac:dyDescent="0.2">
      <c r="A11" s="25" t="s">
        <v>314</v>
      </c>
      <c r="B11" s="26" t="s">
        <v>315</v>
      </c>
      <c r="C11" s="25" t="s">
        <v>299</v>
      </c>
      <c r="D11" s="25"/>
      <c r="E11" s="25"/>
      <c r="F11" s="25"/>
      <c r="G11" s="25"/>
      <c r="H11" s="25"/>
      <c r="I11" s="25" t="s">
        <v>299</v>
      </c>
      <c r="J11" s="25" t="s">
        <v>299</v>
      </c>
      <c r="K11" s="25"/>
      <c r="L11" s="25"/>
      <c r="M11" s="25"/>
      <c r="N11" s="25" t="s">
        <v>299</v>
      </c>
      <c r="O11" s="25" t="s">
        <v>299</v>
      </c>
      <c r="P11" s="25"/>
      <c r="Q11" s="25"/>
      <c r="R11" s="25"/>
      <c r="S11" s="25"/>
      <c r="T11" s="25" t="s">
        <v>299</v>
      </c>
      <c r="U11" s="25"/>
      <c r="V11" s="25" t="s">
        <v>299</v>
      </c>
      <c r="W11" s="25" t="s">
        <v>299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 t="s">
        <v>299</v>
      </c>
      <c r="AI11" s="25"/>
      <c r="AJ11" s="25"/>
      <c r="AK11" s="25"/>
      <c r="AL11" s="25" t="s">
        <v>299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 t="s">
        <v>299</v>
      </c>
      <c r="BF11" s="25"/>
      <c r="BG11" s="25" t="s">
        <v>299</v>
      </c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2">
        <f t="shared" si="0"/>
        <v>11</v>
      </c>
    </row>
    <row r="12" spans="1:103" x14ac:dyDescent="0.2">
      <c r="A12" s="25" t="s">
        <v>316</v>
      </c>
      <c r="B12" s="26" t="s">
        <v>317</v>
      </c>
      <c r="C12" s="25" t="s">
        <v>299</v>
      </c>
      <c r="D12" s="25"/>
      <c r="E12" s="25"/>
      <c r="F12" s="25" t="s">
        <v>299</v>
      </c>
      <c r="G12" s="25"/>
      <c r="H12" s="25"/>
      <c r="I12" s="25"/>
      <c r="J12" s="25"/>
      <c r="K12" s="25"/>
      <c r="L12" s="25"/>
      <c r="M12" s="25"/>
      <c r="N12" s="25" t="s">
        <v>299</v>
      </c>
      <c r="O12" s="25" t="s">
        <v>299</v>
      </c>
      <c r="P12" s="25"/>
      <c r="Q12" s="25"/>
      <c r="R12" s="25"/>
      <c r="S12" s="25"/>
      <c r="T12" s="25"/>
      <c r="U12" s="25"/>
      <c r="V12" s="25" t="s">
        <v>299</v>
      </c>
      <c r="W12" s="25" t="s">
        <v>299</v>
      </c>
      <c r="X12" s="25"/>
      <c r="Y12" s="25"/>
      <c r="Z12" s="25"/>
      <c r="AA12" s="25"/>
      <c r="AB12" s="25"/>
      <c r="AC12" s="25" t="s">
        <v>299</v>
      </c>
      <c r="AD12" s="25"/>
      <c r="AE12" s="25" t="s">
        <v>299</v>
      </c>
      <c r="AF12" s="25" t="s">
        <v>299</v>
      </c>
      <c r="AG12" s="25" t="s">
        <v>299</v>
      </c>
      <c r="AH12" s="25" t="s">
        <v>299</v>
      </c>
      <c r="AI12" s="25"/>
      <c r="AJ12" s="25" t="s">
        <v>299</v>
      </c>
      <c r="AK12" s="25"/>
      <c r="AL12" s="25"/>
      <c r="AM12" s="25" t="s">
        <v>299</v>
      </c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 t="s">
        <v>299</v>
      </c>
      <c r="BX12" s="25" t="s">
        <v>299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2">
        <f t="shared" si="0"/>
        <v>14</v>
      </c>
    </row>
    <row r="13" spans="1:103" x14ac:dyDescent="0.2">
      <c r="A13" s="25" t="s">
        <v>318</v>
      </c>
      <c r="B13" s="26" t="s">
        <v>319</v>
      </c>
      <c r="C13" s="25" t="s">
        <v>299</v>
      </c>
      <c r="D13" s="25"/>
      <c r="E13" s="25" t="s">
        <v>299</v>
      </c>
      <c r="F13" s="25" t="s">
        <v>299</v>
      </c>
      <c r="G13" s="25" t="s">
        <v>299</v>
      </c>
      <c r="H13" s="25"/>
      <c r="I13" s="25" t="s">
        <v>299</v>
      </c>
      <c r="J13" s="25" t="s">
        <v>299</v>
      </c>
      <c r="K13" s="25"/>
      <c r="L13" s="25" t="s">
        <v>299</v>
      </c>
      <c r="M13" s="25" t="s">
        <v>299</v>
      </c>
      <c r="N13" s="25" t="s">
        <v>299</v>
      </c>
      <c r="O13" s="25" t="s">
        <v>299</v>
      </c>
      <c r="P13" s="25" t="s">
        <v>299</v>
      </c>
      <c r="Q13" s="25" t="s">
        <v>299</v>
      </c>
      <c r="R13" s="25" t="s">
        <v>299</v>
      </c>
      <c r="S13" s="25"/>
      <c r="T13" s="25" t="s">
        <v>299</v>
      </c>
      <c r="U13" s="25" t="s">
        <v>299</v>
      </c>
      <c r="V13" s="25" t="s">
        <v>299</v>
      </c>
      <c r="W13" s="25" t="s">
        <v>299</v>
      </c>
      <c r="X13" s="25" t="s">
        <v>299</v>
      </c>
      <c r="Y13" s="25"/>
      <c r="Z13" s="25"/>
      <c r="AA13" s="25" t="s">
        <v>299</v>
      </c>
      <c r="AB13" s="25" t="s">
        <v>299</v>
      </c>
      <c r="AC13" s="25" t="s">
        <v>299</v>
      </c>
      <c r="AD13" s="25" t="s">
        <v>299</v>
      </c>
      <c r="AE13" s="25" t="s">
        <v>299</v>
      </c>
      <c r="AF13" s="25" t="s">
        <v>299</v>
      </c>
      <c r="AG13" s="25" t="s">
        <v>299</v>
      </c>
      <c r="AH13" s="25" t="s">
        <v>299</v>
      </c>
      <c r="AI13" s="25"/>
      <c r="AJ13" s="25"/>
      <c r="AK13" s="25"/>
      <c r="AL13" s="25" t="s">
        <v>299</v>
      </c>
      <c r="AM13" s="25" t="s">
        <v>299</v>
      </c>
      <c r="AN13" s="25"/>
      <c r="AO13" s="25"/>
      <c r="AP13" s="25"/>
      <c r="AQ13" s="25" t="s">
        <v>299</v>
      </c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 t="s">
        <v>299</v>
      </c>
      <c r="BF13" s="25" t="s">
        <v>299</v>
      </c>
      <c r="BG13" s="25" t="s">
        <v>299</v>
      </c>
      <c r="BH13" s="25"/>
      <c r="BI13" s="25"/>
      <c r="BJ13" s="25"/>
      <c r="BK13" s="25" t="s">
        <v>299</v>
      </c>
      <c r="BL13" s="25" t="s">
        <v>299</v>
      </c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 t="s">
        <v>299</v>
      </c>
      <c r="BX13" s="25" t="s">
        <v>299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2">
        <f t="shared" si="0"/>
        <v>35</v>
      </c>
    </row>
    <row r="14" spans="1:103" x14ac:dyDescent="0.2">
      <c r="A14" s="25" t="s">
        <v>320</v>
      </c>
      <c r="B14" s="26" t="s">
        <v>321</v>
      </c>
      <c r="C14" s="25" t="s">
        <v>299</v>
      </c>
      <c r="D14" s="25"/>
      <c r="E14" s="25"/>
      <c r="F14" s="25" t="s">
        <v>299</v>
      </c>
      <c r="G14" s="25"/>
      <c r="H14" s="25"/>
      <c r="I14" s="25" t="s">
        <v>299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 t="s">
        <v>299</v>
      </c>
      <c r="W14" s="25" t="s">
        <v>299</v>
      </c>
      <c r="X14" s="25"/>
      <c r="Y14" s="25"/>
      <c r="Z14" s="25"/>
      <c r="AA14" s="25"/>
      <c r="AB14" s="25"/>
      <c r="AC14" s="25"/>
      <c r="AD14" s="25"/>
      <c r="AE14" s="25"/>
      <c r="AF14" s="25" t="s">
        <v>299</v>
      </c>
      <c r="AG14" s="25" t="s">
        <v>299</v>
      </c>
      <c r="AH14" s="25" t="s">
        <v>299</v>
      </c>
      <c r="AI14" s="25" t="s">
        <v>299</v>
      </c>
      <c r="AJ14" s="25" t="s">
        <v>299</v>
      </c>
      <c r="AK14" s="25"/>
      <c r="AL14" s="25" t="s">
        <v>299</v>
      </c>
      <c r="AM14" s="25" t="s">
        <v>299</v>
      </c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 t="s">
        <v>299</v>
      </c>
      <c r="BF14" s="25" t="s">
        <v>299</v>
      </c>
      <c r="BG14" s="25" t="s">
        <v>299</v>
      </c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2">
        <f t="shared" si="0"/>
        <v>14</v>
      </c>
    </row>
    <row r="15" spans="1:103" x14ac:dyDescent="0.2">
      <c r="A15" s="25" t="s">
        <v>322</v>
      </c>
      <c r="B15" s="26" t="s">
        <v>323</v>
      </c>
      <c r="C15" s="25" t="s">
        <v>299</v>
      </c>
      <c r="D15" s="25"/>
      <c r="E15" s="25"/>
      <c r="F15" s="25" t="s">
        <v>299</v>
      </c>
      <c r="G15" s="25"/>
      <c r="H15" s="25"/>
      <c r="I15" s="25" t="s">
        <v>299</v>
      </c>
      <c r="J15" s="25"/>
      <c r="K15" s="25"/>
      <c r="L15" s="25"/>
      <c r="M15" s="25"/>
      <c r="N15" s="25" t="s">
        <v>299</v>
      </c>
      <c r="O15" s="25" t="s">
        <v>299</v>
      </c>
      <c r="P15" s="25" t="s">
        <v>299</v>
      </c>
      <c r="Q15" s="25" t="s">
        <v>299</v>
      </c>
      <c r="R15" s="25" t="s">
        <v>299</v>
      </c>
      <c r="S15" s="25" t="s">
        <v>299</v>
      </c>
      <c r="T15" s="25" t="s">
        <v>299</v>
      </c>
      <c r="U15" s="25" t="s">
        <v>299</v>
      </c>
      <c r="V15" s="25" t="s">
        <v>299</v>
      </c>
      <c r="W15" s="25" t="s">
        <v>299</v>
      </c>
      <c r="X15" s="25" t="s">
        <v>299</v>
      </c>
      <c r="Y15" s="25" t="s">
        <v>299</v>
      </c>
      <c r="Z15" s="25" t="s">
        <v>299</v>
      </c>
      <c r="AA15" s="25" t="s">
        <v>299</v>
      </c>
      <c r="AB15" s="25" t="s">
        <v>299</v>
      </c>
      <c r="AC15" s="25" t="s">
        <v>299</v>
      </c>
      <c r="AD15" s="25" t="s">
        <v>299</v>
      </c>
      <c r="AE15" s="25" t="s">
        <v>299</v>
      </c>
      <c r="AF15" s="25" t="s">
        <v>299</v>
      </c>
      <c r="AG15" s="25" t="s">
        <v>299</v>
      </c>
      <c r="AH15" s="25" t="s">
        <v>299</v>
      </c>
      <c r="AI15" s="25" t="s">
        <v>299</v>
      </c>
      <c r="AJ15" s="25" t="s">
        <v>299</v>
      </c>
      <c r="AK15" s="25" t="s">
        <v>299</v>
      </c>
      <c r="AL15" s="25" t="s">
        <v>299</v>
      </c>
      <c r="AM15" s="25" t="s">
        <v>299</v>
      </c>
      <c r="AN15" s="25" t="s">
        <v>299</v>
      </c>
      <c r="AO15" s="25" t="s">
        <v>299</v>
      </c>
      <c r="AP15" s="25" t="s">
        <v>299</v>
      </c>
      <c r="AQ15" s="25" t="s">
        <v>299</v>
      </c>
      <c r="AR15" s="25"/>
      <c r="AS15" s="25"/>
      <c r="AT15" s="25" t="s">
        <v>299</v>
      </c>
      <c r="AU15" s="25" t="s">
        <v>299</v>
      </c>
      <c r="AV15" s="25"/>
      <c r="AW15" s="25"/>
      <c r="AX15" s="25"/>
      <c r="AY15" s="25"/>
      <c r="AZ15" s="25"/>
      <c r="BA15" s="25"/>
      <c r="BB15" s="25" t="s">
        <v>299</v>
      </c>
      <c r="BC15" s="25"/>
      <c r="BD15" s="25"/>
      <c r="BE15" s="25" t="s">
        <v>299</v>
      </c>
      <c r="BF15" s="25" t="s">
        <v>299</v>
      </c>
      <c r="BG15" s="25" t="s">
        <v>299</v>
      </c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 t="s">
        <v>299</v>
      </c>
      <c r="BX15" s="25" t="s">
        <v>299</v>
      </c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2">
        <f t="shared" si="0"/>
        <v>40</v>
      </c>
    </row>
    <row r="16" spans="1:103" x14ac:dyDescent="0.2">
      <c r="A16" s="25" t="s">
        <v>324</v>
      </c>
      <c r="B16" s="26" t="s">
        <v>325</v>
      </c>
      <c r="C16" s="25" t="s">
        <v>299</v>
      </c>
      <c r="D16" s="25" t="s">
        <v>299</v>
      </c>
      <c r="E16" s="25" t="s">
        <v>299</v>
      </c>
      <c r="F16" s="25" t="s">
        <v>299</v>
      </c>
      <c r="G16" s="25" t="s">
        <v>299</v>
      </c>
      <c r="H16" s="25" t="s">
        <v>299</v>
      </c>
      <c r="I16" s="25" t="s">
        <v>299</v>
      </c>
      <c r="J16" s="25" t="s">
        <v>299</v>
      </c>
      <c r="K16" s="25" t="s">
        <v>299</v>
      </c>
      <c r="L16" s="25" t="s">
        <v>299</v>
      </c>
      <c r="M16" s="25" t="s">
        <v>299</v>
      </c>
      <c r="N16" s="25" t="s">
        <v>299</v>
      </c>
      <c r="O16" s="25" t="s">
        <v>299</v>
      </c>
      <c r="P16" s="25" t="s">
        <v>299</v>
      </c>
      <c r="Q16" s="25" t="s">
        <v>299</v>
      </c>
      <c r="R16" s="25"/>
      <c r="S16" s="25"/>
      <c r="T16" s="25" t="s">
        <v>299</v>
      </c>
      <c r="U16" s="25" t="s">
        <v>299</v>
      </c>
      <c r="V16" s="25" t="s">
        <v>299</v>
      </c>
      <c r="W16" s="25" t="s">
        <v>299</v>
      </c>
      <c r="X16" s="25" t="s">
        <v>299</v>
      </c>
      <c r="Y16" s="25"/>
      <c r="Z16" s="25"/>
      <c r="AA16" s="25" t="s">
        <v>299</v>
      </c>
      <c r="AB16" s="25" t="s">
        <v>299</v>
      </c>
      <c r="AC16" s="25" t="s">
        <v>299</v>
      </c>
      <c r="AD16" s="25" t="s">
        <v>299</v>
      </c>
      <c r="AE16" s="25" t="s">
        <v>299</v>
      </c>
      <c r="AF16" s="25" t="s">
        <v>299</v>
      </c>
      <c r="AG16" s="25" t="s">
        <v>299</v>
      </c>
      <c r="AH16" s="25" t="s">
        <v>299</v>
      </c>
      <c r="AI16" s="25" t="s">
        <v>299</v>
      </c>
      <c r="AJ16" s="25" t="s">
        <v>299</v>
      </c>
      <c r="AK16" s="25" t="s">
        <v>299</v>
      </c>
      <c r="AL16" s="25" t="s">
        <v>299</v>
      </c>
      <c r="AM16" s="25" t="s">
        <v>299</v>
      </c>
      <c r="AN16" s="25"/>
      <c r="AO16" s="25"/>
      <c r="AP16" s="25"/>
      <c r="AQ16" s="25" t="s">
        <v>299</v>
      </c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 t="s">
        <v>299</v>
      </c>
      <c r="BF16" s="25" t="s">
        <v>299</v>
      </c>
      <c r="BG16" s="25" t="s">
        <v>299</v>
      </c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 t="s">
        <v>299</v>
      </c>
      <c r="BX16" s="25" t="s">
        <v>299</v>
      </c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2">
        <f t="shared" si="0"/>
        <v>38</v>
      </c>
    </row>
    <row r="17" spans="1:103" x14ac:dyDescent="0.2">
      <c r="A17" s="25" t="s">
        <v>326</v>
      </c>
      <c r="B17" s="26" t="s">
        <v>327</v>
      </c>
      <c r="C17" s="25" t="s">
        <v>299</v>
      </c>
      <c r="D17" s="25"/>
      <c r="E17" s="25" t="s">
        <v>299</v>
      </c>
      <c r="F17" s="25" t="s">
        <v>299</v>
      </c>
      <c r="G17" s="25" t="s">
        <v>299</v>
      </c>
      <c r="H17" s="25"/>
      <c r="I17" s="25" t="s">
        <v>299</v>
      </c>
      <c r="J17" s="25" t="s">
        <v>299</v>
      </c>
      <c r="K17" s="25"/>
      <c r="L17" s="25" t="s">
        <v>299</v>
      </c>
      <c r="M17" s="25"/>
      <c r="N17" s="25" t="s">
        <v>299</v>
      </c>
      <c r="O17" s="25" t="s">
        <v>299</v>
      </c>
      <c r="P17" s="25" t="s">
        <v>299</v>
      </c>
      <c r="Q17" s="25" t="s">
        <v>299</v>
      </c>
      <c r="R17" s="25" t="s">
        <v>299</v>
      </c>
      <c r="S17" s="25"/>
      <c r="T17" s="25" t="s">
        <v>299</v>
      </c>
      <c r="U17" s="25"/>
      <c r="V17" s="25" t="s">
        <v>299</v>
      </c>
      <c r="W17" s="25" t="s">
        <v>299</v>
      </c>
      <c r="X17" s="25" t="s">
        <v>299</v>
      </c>
      <c r="Y17" s="25"/>
      <c r="Z17" s="25"/>
      <c r="AA17" s="25" t="s">
        <v>299</v>
      </c>
      <c r="AB17" s="25" t="s">
        <v>299</v>
      </c>
      <c r="AC17" s="25" t="s">
        <v>299</v>
      </c>
      <c r="AD17" s="25"/>
      <c r="AE17" s="25" t="s">
        <v>299</v>
      </c>
      <c r="AF17" s="25" t="s">
        <v>299</v>
      </c>
      <c r="AG17" s="25" t="s">
        <v>299</v>
      </c>
      <c r="AH17" s="25" t="s">
        <v>299</v>
      </c>
      <c r="AI17" s="25"/>
      <c r="AJ17" s="25"/>
      <c r="AK17" s="25" t="s">
        <v>299</v>
      </c>
      <c r="AL17" s="25" t="s">
        <v>299</v>
      </c>
      <c r="AM17" s="25" t="s">
        <v>299</v>
      </c>
      <c r="AN17" s="25"/>
      <c r="AO17" s="25"/>
      <c r="AP17" s="25"/>
      <c r="AQ17" s="25" t="s">
        <v>299</v>
      </c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 t="s">
        <v>299</v>
      </c>
      <c r="BF17" s="25" t="s">
        <v>299</v>
      </c>
      <c r="BG17" s="25" t="s">
        <v>299</v>
      </c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 t="s">
        <v>299</v>
      </c>
      <c r="BX17" s="25" t="s">
        <v>299</v>
      </c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2">
        <f t="shared" si="0"/>
        <v>31</v>
      </c>
    </row>
    <row r="18" spans="1:103" x14ac:dyDescent="0.2">
      <c r="A18" s="25" t="s">
        <v>328</v>
      </c>
      <c r="B18" s="26" t="s">
        <v>329</v>
      </c>
      <c r="C18" s="25" t="s">
        <v>299</v>
      </c>
      <c r="D18" s="25"/>
      <c r="E18" s="25"/>
      <c r="F18" s="25" t="s">
        <v>299</v>
      </c>
      <c r="G18" s="25"/>
      <c r="H18" s="25"/>
      <c r="I18" s="25" t="s">
        <v>299</v>
      </c>
      <c r="J18" s="25"/>
      <c r="K18" s="25"/>
      <c r="L18" s="25"/>
      <c r="M18" s="25"/>
      <c r="N18" s="25"/>
      <c r="O18" s="25" t="s">
        <v>299</v>
      </c>
      <c r="P18" s="25"/>
      <c r="Q18" s="25" t="s">
        <v>299</v>
      </c>
      <c r="R18" s="25"/>
      <c r="S18" s="25"/>
      <c r="T18" s="25"/>
      <c r="U18" s="25"/>
      <c r="V18" s="25" t="s">
        <v>299</v>
      </c>
      <c r="W18" s="25" t="s">
        <v>299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 t="s">
        <v>299</v>
      </c>
      <c r="AI18" s="25"/>
      <c r="AJ18" s="25" t="s">
        <v>299</v>
      </c>
      <c r="AK18" s="25"/>
      <c r="AL18" s="25" t="s">
        <v>299</v>
      </c>
      <c r="AM18" s="25" t="s">
        <v>299</v>
      </c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2">
        <f t="shared" si="0"/>
        <v>10</v>
      </c>
    </row>
    <row r="19" spans="1:103" x14ac:dyDescent="0.2">
      <c r="A19" s="25" t="s">
        <v>330</v>
      </c>
      <c r="B19" s="26" t="s">
        <v>331</v>
      </c>
      <c r="C19" s="25" t="s">
        <v>299</v>
      </c>
      <c r="D19" s="25"/>
      <c r="E19" s="25" t="s">
        <v>299</v>
      </c>
      <c r="F19" s="25" t="s">
        <v>299</v>
      </c>
      <c r="G19" s="25"/>
      <c r="H19" s="25"/>
      <c r="I19" s="25" t="s">
        <v>299</v>
      </c>
      <c r="J19" s="25"/>
      <c r="K19" s="25"/>
      <c r="L19" s="25"/>
      <c r="M19" s="25"/>
      <c r="N19" s="25"/>
      <c r="O19" s="25"/>
      <c r="P19" s="25"/>
      <c r="Q19" s="25" t="s">
        <v>299</v>
      </c>
      <c r="R19" s="25"/>
      <c r="S19" s="25"/>
      <c r="T19" s="25" t="s">
        <v>299</v>
      </c>
      <c r="U19" s="25" t="s">
        <v>299</v>
      </c>
      <c r="V19" s="25" t="s">
        <v>299</v>
      </c>
      <c r="W19" s="25" t="s">
        <v>299</v>
      </c>
      <c r="X19" s="25"/>
      <c r="Y19" s="25"/>
      <c r="Z19" s="25"/>
      <c r="AA19" s="25"/>
      <c r="AB19" s="25"/>
      <c r="AC19" s="25" t="s">
        <v>299</v>
      </c>
      <c r="AD19" s="25"/>
      <c r="AE19" s="25" t="s">
        <v>299</v>
      </c>
      <c r="AF19" s="25" t="s">
        <v>299</v>
      </c>
      <c r="AG19" s="25" t="s">
        <v>299</v>
      </c>
      <c r="AH19" s="25" t="s">
        <v>299</v>
      </c>
      <c r="AI19" s="25" t="s">
        <v>299</v>
      </c>
      <c r="AJ19" s="25"/>
      <c r="AK19" s="25"/>
      <c r="AL19" s="25" t="s">
        <v>299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2">
        <f t="shared" si="0"/>
        <v>15</v>
      </c>
    </row>
    <row r="20" spans="1:103" x14ac:dyDescent="0.2">
      <c r="A20" s="25" t="s">
        <v>332</v>
      </c>
      <c r="B20" s="26" t="s">
        <v>333</v>
      </c>
      <c r="C20" s="25" t="s">
        <v>299</v>
      </c>
      <c r="D20" s="25"/>
      <c r="E20" s="25"/>
      <c r="F20" s="25" t="s">
        <v>299</v>
      </c>
      <c r="G20" s="25"/>
      <c r="H20" s="25"/>
      <c r="I20" s="25" t="s">
        <v>299</v>
      </c>
      <c r="J20" s="25" t="s">
        <v>299</v>
      </c>
      <c r="K20" s="25"/>
      <c r="L20" s="25" t="s">
        <v>299</v>
      </c>
      <c r="M20" s="25" t="s">
        <v>299</v>
      </c>
      <c r="N20" s="25"/>
      <c r="O20" s="25"/>
      <c r="P20" s="25" t="s">
        <v>299</v>
      </c>
      <c r="Q20" s="25"/>
      <c r="R20" s="25"/>
      <c r="S20" s="25"/>
      <c r="T20" s="25" t="s">
        <v>299</v>
      </c>
      <c r="U20" s="25" t="s">
        <v>299</v>
      </c>
      <c r="V20" s="25" t="s">
        <v>299</v>
      </c>
      <c r="W20" s="25" t="s">
        <v>299</v>
      </c>
      <c r="X20" s="25"/>
      <c r="Y20" s="25"/>
      <c r="Z20" s="25"/>
      <c r="AA20" s="25"/>
      <c r="AB20" s="25"/>
      <c r="AC20" s="25" t="s">
        <v>299</v>
      </c>
      <c r="AD20" s="25"/>
      <c r="AE20" s="25" t="s">
        <v>299</v>
      </c>
      <c r="AF20" s="25"/>
      <c r="AG20" s="25" t="s">
        <v>299</v>
      </c>
      <c r="AH20" s="25" t="s">
        <v>299</v>
      </c>
      <c r="AI20" s="25" t="s">
        <v>299</v>
      </c>
      <c r="AJ20" s="25" t="s">
        <v>299</v>
      </c>
      <c r="AK20" s="25"/>
      <c r="AL20" s="25" t="s">
        <v>299</v>
      </c>
      <c r="AM20" s="25" t="s">
        <v>299</v>
      </c>
      <c r="AN20" s="25"/>
      <c r="AO20" s="25"/>
      <c r="AP20" s="25"/>
      <c r="AQ20" s="25" t="s">
        <v>299</v>
      </c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2">
        <f t="shared" si="0"/>
        <v>19</v>
      </c>
    </row>
    <row r="21" spans="1:103" x14ac:dyDescent="0.2">
      <c r="A21" s="25" t="s">
        <v>334</v>
      </c>
      <c r="B21" s="26" t="s">
        <v>335</v>
      </c>
      <c r="C21" s="25" t="s">
        <v>299</v>
      </c>
      <c r="D21" s="25"/>
      <c r="E21" s="25"/>
      <c r="F21" s="25"/>
      <c r="G21" s="25"/>
      <c r="H21" s="25"/>
      <c r="I21" s="25" t="s">
        <v>299</v>
      </c>
      <c r="J21" s="25" t="s">
        <v>299</v>
      </c>
      <c r="K21" s="25"/>
      <c r="L21" s="25"/>
      <c r="M21" s="25" t="s">
        <v>299</v>
      </c>
      <c r="N21" s="25"/>
      <c r="O21" s="25"/>
      <c r="P21" s="25"/>
      <c r="Q21" s="25"/>
      <c r="R21" s="25"/>
      <c r="S21" s="25"/>
      <c r="T21" s="25"/>
      <c r="U21" s="25"/>
      <c r="V21" s="25"/>
      <c r="W21" s="25" t="s">
        <v>299</v>
      </c>
      <c r="X21" s="25"/>
      <c r="Y21" s="25"/>
      <c r="Z21" s="25"/>
      <c r="AA21" s="25"/>
      <c r="AB21" s="25"/>
      <c r="AC21" s="25"/>
      <c r="AD21" s="25"/>
      <c r="AE21" s="25"/>
      <c r="AF21" s="25"/>
      <c r="AG21" s="25" t="s">
        <v>299</v>
      </c>
      <c r="AH21" s="25" t="s">
        <v>299</v>
      </c>
      <c r="AI21" s="25"/>
      <c r="AJ21" s="25" t="s">
        <v>299</v>
      </c>
      <c r="AK21" s="25"/>
      <c r="AL21" s="25"/>
      <c r="AM21" s="25" t="s">
        <v>299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2">
        <f t="shared" si="0"/>
        <v>8</v>
      </c>
    </row>
    <row r="22" spans="1:103" x14ac:dyDescent="0.2">
      <c r="A22" s="25" t="s">
        <v>336</v>
      </c>
      <c r="B22" s="26" t="s">
        <v>337</v>
      </c>
      <c r="C22" s="25" t="s">
        <v>299</v>
      </c>
      <c r="D22" s="25"/>
      <c r="E22" s="25"/>
      <c r="F22" s="25"/>
      <c r="G22" s="25"/>
      <c r="H22" s="25"/>
      <c r="I22" s="25" t="s">
        <v>299</v>
      </c>
      <c r="J22" s="25"/>
      <c r="K22" s="25"/>
      <c r="L22" s="25"/>
      <c r="M22" s="25"/>
      <c r="N22" s="25"/>
      <c r="O22" s="25"/>
      <c r="P22" s="25" t="s">
        <v>299</v>
      </c>
      <c r="Q22" s="25"/>
      <c r="R22" s="25"/>
      <c r="S22" s="25"/>
      <c r="T22" s="25"/>
      <c r="U22" s="25"/>
      <c r="V22" s="25" t="s">
        <v>299</v>
      </c>
      <c r="W22" s="25" t="s">
        <v>299</v>
      </c>
      <c r="X22" s="25"/>
      <c r="Y22" s="25"/>
      <c r="Z22" s="25"/>
      <c r="AA22" s="25"/>
      <c r="AB22" s="25"/>
      <c r="AC22" s="25"/>
      <c r="AD22" s="25"/>
      <c r="AE22" s="25"/>
      <c r="AF22" s="25"/>
      <c r="AG22" s="25" t="s">
        <v>299</v>
      </c>
      <c r="AH22" s="25" t="s">
        <v>299</v>
      </c>
      <c r="AI22" s="25"/>
      <c r="AJ22" s="25"/>
      <c r="AK22" s="25"/>
      <c r="AL22" s="25" t="s">
        <v>299</v>
      </c>
      <c r="AM22" s="25" t="s">
        <v>299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2">
        <f t="shared" si="0"/>
        <v>8</v>
      </c>
    </row>
    <row r="23" spans="1:103" x14ac:dyDescent="0.2">
      <c r="A23" s="25" t="s">
        <v>338</v>
      </c>
      <c r="B23" s="26" t="s">
        <v>339</v>
      </c>
      <c r="C23" s="25" t="s">
        <v>299</v>
      </c>
      <c r="D23" s="25"/>
      <c r="E23" s="25"/>
      <c r="F23" s="25" t="s">
        <v>299</v>
      </c>
      <c r="G23" s="25" t="s">
        <v>299</v>
      </c>
      <c r="H23" s="25"/>
      <c r="I23" s="25" t="s">
        <v>299</v>
      </c>
      <c r="J23" s="25" t="s">
        <v>299</v>
      </c>
      <c r="K23" s="25"/>
      <c r="L23" s="25" t="s">
        <v>299</v>
      </c>
      <c r="M23" s="25" t="s">
        <v>299</v>
      </c>
      <c r="N23" s="25"/>
      <c r="O23" s="25" t="s">
        <v>299</v>
      </c>
      <c r="P23" s="25" t="s">
        <v>299</v>
      </c>
      <c r="Q23" s="25" t="s">
        <v>299</v>
      </c>
      <c r="R23" s="25" t="s">
        <v>299</v>
      </c>
      <c r="S23" s="25"/>
      <c r="T23" s="25" t="s">
        <v>299</v>
      </c>
      <c r="U23" s="25" t="s">
        <v>299</v>
      </c>
      <c r="V23" s="25" t="s">
        <v>299</v>
      </c>
      <c r="W23" s="25" t="s">
        <v>299</v>
      </c>
      <c r="X23" s="25"/>
      <c r="Y23" s="25"/>
      <c r="Z23" s="25"/>
      <c r="AA23" s="25"/>
      <c r="AB23" s="25" t="s">
        <v>299</v>
      </c>
      <c r="AC23" s="25" t="s">
        <v>299</v>
      </c>
      <c r="AD23" s="25"/>
      <c r="AE23" s="25" t="s">
        <v>299</v>
      </c>
      <c r="AF23" s="25" t="s">
        <v>299</v>
      </c>
      <c r="AG23" s="25" t="s">
        <v>299</v>
      </c>
      <c r="AH23" s="25" t="s">
        <v>299</v>
      </c>
      <c r="AI23" s="25"/>
      <c r="AJ23" s="25"/>
      <c r="AK23" s="25" t="s">
        <v>299</v>
      </c>
      <c r="AL23" s="25" t="s">
        <v>299</v>
      </c>
      <c r="AM23" s="25" t="s">
        <v>299</v>
      </c>
      <c r="AN23" s="25"/>
      <c r="AO23" s="25"/>
      <c r="AP23" s="25"/>
      <c r="AQ23" s="25" t="s">
        <v>299</v>
      </c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 t="s">
        <v>299</v>
      </c>
      <c r="BF23" s="25" t="s">
        <v>299</v>
      </c>
      <c r="BG23" s="25" t="s">
        <v>299</v>
      </c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2">
        <f t="shared" si="0"/>
        <v>27</v>
      </c>
    </row>
    <row r="24" spans="1:103" x14ac:dyDescent="0.2">
      <c r="A24" s="25" t="s">
        <v>340</v>
      </c>
      <c r="B24" s="26" t="s">
        <v>341</v>
      </c>
      <c r="C24" s="25" t="s">
        <v>299</v>
      </c>
      <c r="D24" s="25" t="s">
        <v>299</v>
      </c>
      <c r="E24" s="25" t="s">
        <v>299</v>
      </c>
      <c r="F24" s="25" t="s">
        <v>299</v>
      </c>
      <c r="G24" s="25" t="s">
        <v>299</v>
      </c>
      <c r="H24" s="25" t="s">
        <v>299</v>
      </c>
      <c r="I24" s="25" t="s">
        <v>299</v>
      </c>
      <c r="J24" s="25" t="s">
        <v>299</v>
      </c>
      <c r="K24" s="25" t="s">
        <v>299</v>
      </c>
      <c r="L24" s="25" t="s">
        <v>299</v>
      </c>
      <c r="M24" s="25" t="s">
        <v>299</v>
      </c>
      <c r="N24" s="25" t="s">
        <v>299</v>
      </c>
      <c r="O24" s="25" t="s">
        <v>299</v>
      </c>
      <c r="P24" s="25" t="s">
        <v>299</v>
      </c>
      <c r="Q24" s="25" t="s">
        <v>299</v>
      </c>
      <c r="R24" s="25" t="s">
        <v>299</v>
      </c>
      <c r="S24" s="25"/>
      <c r="T24" s="25" t="s">
        <v>299</v>
      </c>
      <c r="U24" s="25" t="s">
        <v>299</v>
      </c>
      <c r="V24" s="25" t="s">
        <v>299</v>
      </c>
      <c r="W24" s="25" t="s">
        <v>299</v>
      </c>
      <c r="X24" s="25" t="s">
        <v>299</v>
      </c>
      <c r="Y24" s="25" t="s">
        <v>299</v>
      </c>
      <c r="Z24" s="25" t="s">
        <v>299</v>
      </c>
      <c r="AA24" s="25" t="s">
        <v>299</v>
      </c>
      <c r="AB24" s="25" t="s">
        <v>299</v>
      </c>
      <c r="AC24" s="25" t="s">
        <v>299</v>
      </c>
      <c r="AD24" s="25" t="s">
        <v>299</v>
      </c>
      <c r="AE24" s="25" t="s">
        <v>299</v>
      </c>
      <c r="AF24" s="25" t="s">
        <v>299</v>
      </c>
      <c r="AG24" s="25" t="s">
        <v>299</v>
      </c>
      <c r="AH24" s="25" t="s">
        <v>299</v>
      </c>
      <c r="AI24" s="25" t="s">
        <v>299</v>
      </c>
      <c r="AJ24" s="25" t="s">
        <v>299</v>
      </c>
      <c r="AK24" s="25" t="s">
        <v>299</v>
      </c>
      <c r="AL24" s="25" t="s">
        <v>299</v>
      </c>
      <c r="AM24" s="25" t="s">
        <v>299</v>
      </c>
      <c r="AN24" s="25" t="s">
        <v>299</v>
      </c>
      <c r="AO24" s="25" t="s">
        <v>299</v>
      </c>
      <c r="AP24" s="25" t="s">
        <v>299</v>
      </c>
      <c r="AQ24" s="25" t="s">
        <v>299</v>
      </c>
      <c r="AR24" s="25" t="s">
        <v>299</v>
      </c>
      <c r="AS24" s="25" t="s">
        <v>299</v>
      </c>
      <c r="AT24" s="25" t="s">
        <v>299</v>
      </c>
      <c r="AU24" s="25" t="s">
        <v>299</v>
      </c>
      <c r="AV24" s="25" t="s">
        <v>299</v>
      </c>
      <c r="AW24" s="25" t="s">
        <v>299</v>
      </c>
      <c r="AX24" s="25" t="s">
        <v>299</v>
      </c>
      <c r="AY24" s="25" t="s">
        <v>299</v>
      </c>
      <c r="AZ24" s="25" t="s">
        <v>299</v>
      </c>
      <c r="BA24" s="25" t="s">
        <v>299</v>
      </c>
      <c r="BB24" s="25" t="s">
        <v>299</v>
      </c>
      <c r="BC24" s="25" t="s">
        <v>299</v>
      </c>
      <c r="BD24" s="25"/>
      <c r="BE24" s="25" t="s">
        <v>299</v>
      </c>
      <c r="BF24" s="25" t="s">
        <v>299</v>
      </c>
      <c r="BG24" s="25" t="s">
        <v>299</v>
      </c>
      <c r="BH24" s="25"/>
      <c r="BI24" s="25"/>
      <c r="BJ24" s="25"/>
      <c r="BK24" s="25" t="s">
        <v>299</v>
      </c>
      <c r="BL24" s="25" t="s">
        <v>299</v>
      </c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 t="s">
        <v>299</v>
      </c>
      <c r="BX24" s="25" t="s">
        <v>299</v>
      </c>
      <c r="BY24" s="25"/>
      <c r="BZ24" s="25"/>
      <c r="CA24" s="25"/>
      <c r="CB24" s="25"/>
      <c r="CC24" s="25"/>
      <c r="CD24" s="25"/>
      <c r="CE24" s="25" t="s">
        <v>299</v>
      </c>
      <c r="CF24" s="25" t="s">
        <v>299</v>
      </c>
      <c r="CG24" s="25"/>
      <c r="CH24" s="25"/>
      <c r="CI24" s="25"/>
      <c r="CJ24" s="25" t="s">
        <v>299</v>
      </c>
      <c r="CK24" s="25"/>
      <c r="CL24" s="25"/>
      <c r="CM24" s="25"/>
      <c r="CN24" s="25"/>
      <c r="CO24" s="25"/>
      <c r="CP24" s="25"/>
      <c r="CQ24" s="25" t="s">
        <v>299</v>
      </c>
      <c r="CR24" s="25" t="s">
        <v>299</v>
      </c>
      <c r="CS24" s="25" t="s">
        <v>299</v>
      </c>
      <c r="CT24" s="25" t="s">
        <v>299</v>
      </c>
      <c r="CU24" s="25" t="s">
        <v>299</v>
      </c>
      <c r="CV24" s="25" t="s">
        <v>299</v>
      </c>
      <c r="CW24" s="25"/>
      <c r="CX24" s="25"/>
      <c r="CY24" s="22">
        <f t="shared" si="0"/>
        <v>67</v>
      </c>
    </row>
    <row r="25" spans="1:103" x14ac:dyDescent="0.2">
      <c r="A25" s="25" t="s">
        <v>342</v>
      </c>
      <c r="B25" s="26" t="s">
        <v>343</v>
      </c>
      <c r="C25" s="25" t="s">
        <v>299</v>
      </c>
      <c r="D25" s="25"/>
      <c r="E25" s="25"/>
      <c r="F25" s="25"/>
      <c r="G25" s="25"/>
      <c r="H25" s="25"/>
      <c r="I25" s="25" t="s">
        <v>299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 t="s">
        <v>299</v>
      </c>
      <c r="U25" s="25"/>
      <c r="V25" s="25" t="s">
        <v>299</v>
      </c>
      <c r="W25" s="25" t="s">
        <v>299</v>
      </c>
      <c r="X25" s="25"/>
      <c r="Y25" s="25"/>
      <c r="Z25" s="25"/>
      <c r="AA25" s="25"/>
      <c r="AB25" s="25"/>
      <c r="AC25" s="25" t="s">
        <v>299</v>
      </c>
      <c r="AD25" s="25"/>
      <c r="AE25" s="25" t="s">
        <v>299</v>
      </c>
      <c r="AF25" s="25"/>
      <c r="AG25" s="25"/>
      <c r="AH25" s="25" t="s">
        <v>299</v>
      </c>
      <c r="AI25" s="25"/>
      <c r="AJ25" s="25"/>
      <c r="AK25" s="25"/>
      <c r="AL25" s="25"/>
      <c r="AM25" s="25" t="s">
        <v>299</v>
      </c>
      <c r="AN25" s="25"/>
      <c r="AO25" s="25"/>
      <c r="AP25" s="25"/>
      <c r="AQ25" s="25"/>
      <c r="AR25" s="25"/>
      <c r="AS25" s="25"/>
      <c r="AT25" s="25"/>
      <c r="AU25" s="25"/>
      <c r="AV25" s="25" t="s">
        <v>299</v>
      </c>
      <c r="AW25" s="25" t="s">
        <v>299</v>
      </c>
      <c r="AX25" s="25"/>
      <c r="AY25" s="25"/>
      <c r="AZ25" s="25"/>
      <c r="BA25" s="25" t="s">
        <v>299</v>
      </c>
      <c r="BB25" s="25"/>
      <c r="BC25" s="25" t="s">
        <v>299</v>
      </c>
      <c r="BD25" s="25"/>
      <c r="BE25" s="25" t="s">
        <v>299</v>
      </c>
      <c r="BF25" s="25"/>
      <c r="BG25" s="25" t="s">
        <v>299</v>
      </c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2">
        <f t="shared" si="0"/>
        <v>14</v>
      </c>
    </row>
    <row r="26" spans="1:103" x14ac:dyDescent="0.2">
      <c r="A26" s="25" t="s">
        <v>344</v>
      </c>
      <c r="B26" s="26" t="s">
        <v>345</v>
      </c>
      <c r="C26" s="25" t="s">
        <v>299</v>
      </c>
      <c r="D26" s="25"/>
      <c r="E26" s="25"/>
      <c r="F26" s="25"/>
      <c r="G26" s="25"/>
      <c r="H26" s="25"/>
      <c r="I26" s="25" t="s">
        <v>299</v>
      </c>
      <c r="J26" s="25" t="s">
        <v>299</v>
      </c>
      <c r="K26" s="25"/>
      <c r="L26" s="25" t="s">
        <v>299</v>
      </c>
      <c r="M26" s="25" t="s">
        <v>299</v>
      </c>
      <c r="N26" s="25" t="s">
        <v>299</v>
      </c>
      <c r="O26" s="25" t="s">
        <v>299</v>
      </c>
      <c r="P26" s="25"/>
      <c r="Q26" s="25"/>
      <c r="R26" s="25"/>
      <c r="S26" s="25"/>
      <c r="T26" s="25" t="s">
        <v>299</v>
      </c>
      <c r="U26" s="25" t="s">
        <v>299</v>
      </c>
      <c r="V26" s="25" t="s">
        <v>299</v>
      </c>
      <c r="W26" s="25"/>
      <c r="X26" s="25"/>
      <c r="Y26" s="25"/>
      <c r="Z26" s="25"/>
      <c r="AA26" s="25"/>
      <c r="AB26" s="25"/>
      <c r="AC26" s="25" t="s">
        <v>299</v>
      </c>
      <c r="AD26" s="25"/>
      <c r="AE26" s="25" t="s">
        <v>299</v>
      </c>
      <c r="AF26" s="25" t="s">
        <v>299</v>
      </c>
      <c r="AG26" s="25" t="s">
        <v>299</v>
      </c>
      <c r="AH26" s="25" t="s">
        <v>299</v>
      </c>
      <c r="AI26" s="25" t="s">
        <v>299</v>
      </c>
      <c r="AJ26" s="25" t="s">
        <v>299</v>
      </c>
      <c r="AK26" s="25" t="s">
        <v>299</v>
      </c>
      <c r="AL26" s="25" t="s">
        <v>299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 t="s">
        <v>299</v>
      </c>
      <c r="BF26" s="25" t="s">
        <v>299</v>
      </c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2">
        <f t="shared" si="0"/>
        <v>20</v>
      </c>
    </row>
    <row r="27" spans="1:103" x14ac:dyDescent="0.2">
      <c r="A27" s="25" t="s">
        <v>346</v>
      </c>
      <c r="B27" s="26" t="s">
        <v>347</v>
      </c>
      <c r="C27" s="25" t="s">
        <v>299</v>
      </c>
      <c r="D27" s="25"/>
      <c r="E27" s="25" t="s">
        <v>299</v>
      </c>
      <c r="F27" s="25" t="s">
        <v>299</v>
      </c>
      <c r="G27" s="25"/>
      <c r="H27" s="25"/>
      <c r="I27" s="25" t="s">
        <v>299</v>
      </c>
      <c r="J27" s="25" t="s">
        <v>299</v>
      </c>
      <c r="K27" s="25"/>
      <c r="L27" s="25" t="s">
        <v>299</v>
      </c>
      <c r="M27" s="25" t="s">
        <v>299</v>
      </c>
      <c r="N27" s="25" t="s">
        <v>299</v>
      </c>
      <c r="O27" s="25" t="s">
        <v>299</v>
      </c>
      <c r="P27" s="25" t="s">
        <v>299</v>
      </c>
      <c r="Q27" s="25" t="s">
        <v>299</v>
      </c>
      <c r="R27" s="25" t="s">
        <v>299</v>
      </c>
      <c r="S27" s="25"/>
      <c r="T27" s="25" t="s">
        <v>299</v>
      </c>
      <c r="U27" s="25" t="s">
        <v>299</v>
      </c>
      <c r="V27" s="25" t="s">
        <v>299</v>
      </c>
      <c r="W27" s="25" t="s">
        <v>299</v>
      </c>
      <c r="X27" s="25" t="s">
        <v>299</v>
      </c>
      <c r="Y27" s="25"/>
      <c r="Z27" s="25"/>
      <c r="AA27" s="25" t="s">
        <v>299</v>
      </c>
      <c r="AB27" s="25" t="s">
        <v>299</v>
      </c>
      <c r="AC27" s="25" t="s">
        <v>299</v>
      </c>
      <c r="AD27" s="25" t="s">
        <v>299</v>
      </c>
      <c r="AE27" s="25" t="s">
        <v>299</v>
      </c>
      <c r="AF27" s="25" t="s">
        <v>299</v>
      </c>
      <c r="AG27" s="25" t="s">
        <v>299</v>
      </c>
      <c r="AH27" s="25" t="s">
        <v>299</v>
      </c>
      <c r="AI27" s="25"/>
      <c r="AJ27" s="25"/>
      <c r="AK27" s="25" t="s">
        <v>299</v>
      </c>
      <c r="AL27" s="25" t="s">
        <v>299</v>
      </c>
      <c r="AM27" s="25" t="s">
        <v>299</v>
      </c>
      <c r="AN27" s="25"/>
      <c r="AO27" s="25" t="s">
        <v>299</v>
      </c>
      <c r="AP27" s="25"/>
      <c r="AQ27" s="25" t="s">
        <v>299</v>
      </c>
      <c r="AR27" s="25"/>
      <c r="AS27" s="25"/>
      <c r="AT27" s="25"/>
      <c r="AU27" s="25"/>
      <c r="AV27" s="25" t="s">
        <v>299</v>
      </c>
      <c r="AW27" s="25" t="s">
        <v>299</v>
      </c>
      <c r="AX27" s="25"/>
      <c r="AY27" s="25"/>
      <c r="AZ27" s="25"/>
      <c r="BA27" s="25" t="s">
        <v>299</v>
      </c>
      <c r="BB27" s="25"/>
      <c r="BC27" s="25" t="s">
        <v>299</v>
      </c>
      <c r="BD27" s="25"/>
      <c r="BE27" s="25" t="s">
        <v>299</v>
      </c>
      <c r="BF27" s="25" t="s">
        <v>299</v>
      </c>
      <c r="BG27" s="25" t="s">
        <v>299</v>
      </c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2">
        <f t="shared" si="0"/>
        <v>36</v>
      </c>
    </row>
    <row r="28" spans="1:103" x14ac:dyDescent="0.2">
      <c r="A28" s="25" t="s">
        <v>348</v>
      </c>
      <c r="B28" s="26" t="s">
        <v>349</v>
      </c>
      <c r="C28" s="25" t="s">
        <v>299</v>
      </c>
      <c r="D28" s="25"/>
      <c r="E28" s="25"/>
      <c r="F28" s="25"/>
      <c r="G28" s="25"/>
      <c r="H28" s="25"/>
      <c r="I28" s="25" t="s">
        <v>299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 t="s">
        <v>299</v>
      </c>
      <c r="W28" s="25" t="s">
        <v>299</v>
      </c>
      <c r="X28" s="25"/>
      <c r="Y28" s="25"/>
      <c r="Z28" s="25"/>
      <c r="AA28" s="25"/>
      <c r="AB28" s="25"/>
      <c r="AC28" s="25"/>
      <c r="AD28" s="25"/>
      <c r="AE28" s="25"/>
      <c r="AF28" s="25"/>
      <c r="AG28" s="25" t="s">
        <v>299</v>
      </c>
      <c r="AH28" s="25" t="s">
        <v>299</v>
      </c>
      <c r="AI28" s="25"/>
      <c r="AJ28" s="25"/>
      <c r="AK28" s="25"/>
      <c r="AL28" s="25" t="s">
        <v>299</v>
      </c>
      <c r="AM28" s="25" t="s">
        <v>299</v>
      </c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2">
        <f t="shared" si="0"/>
        <v>7</v>
      </c>
    </row>
    <row r="29" spans="1:103" x14ac:dyDescent="0.2">
      <c r="A29" s="25" t="s">
        <v>350</v>
      </c>
      <c r="B29" s="26" t="s">
        <v>351</v>
      </c>
      <c r="C29" s="25" t="s">
        <v>299</v>
      </c>
      <c r="D29" s="25"/>
      <c r="E29" s="25"/>
      <c r="F29" s="25"/>
      <c r="G29" s="25"/>
      <c r="H29" s="25"/>
      <c r="I29" s="25" t="s">
        <v>299</v>
      </c>
      <c r="J29" s="25" t="s">
        <v>299</v>
      </c>
      <c r="K29" s="25"/>
      <c r="L29" s="25"/>
      <c r="M29" s="25"/>
      <c r="N29" s="25"/>
      <c r="O29" s="25"/>
      <c r="P29" s="25"/>
      <c r="Q29" s="25" t="s">
        <v>299</v>
      </c>
      <c r="R29" s="25"/>
      <c r="S29" s="25"/>
      <c r="T29" s="25"/>
      <c r="U29" s="25"/>
      <c r="V29" s="25" t="s">
        <v>299</v>
      </c>
      <c r="W29" s="25"/>
      <c r="X29" s="25" t="s">
        <v>299</v>
      </c>
      <c r="Y29" s="25"/>
      <c r="Z29" s="25"/>
      <c r="AA29" s="25" t="s">
        <v>299</v>
      </c>
      <c r="AB29" s="25"/>
      <c r="AC29" s="25" t="s">
        <v>299</v>
      </c>
      <c r="AD29" s="25"/>
      <c r="AE29" s="25" t="s">
        <v>299</v>
      </c>
      <c r="AF29" s="25" t="s">
        <v>299</v>
      </c>
      <c r="AG29" s="25" t="s">
        <v>299</v>
      </c>
      <c r="AH29" s="25" t="s">
        <v>299</v>
      </c>
      <c r="AI29" s="25" t="s">
        <v>299</v>
      </c>
      <c r="AJ29" s="25" t="s">
        <v>299</v>
      </c>
      <c r="AK29" s="25" t="s">
        <v>299</v>
      </c>
      <c r="AL29" s="25" t="s">
        <v>299</v>
      </c>
      <c r="AM29" s="25" t="s">
        <v>299</v>
      </c>
      <c r="AN29" s="25"/>
      <c r="AO29" s="25" t="s">
        <v>299</v>
      </c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 t="s">
        <v>299</v>
      </c>
      <c r="BF29" s="25" t="s">
        <v>299</v>
      </c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2">
        <f t="shared" si="0"/>
        <v>19</v>
      </c>
    </row>
    <row r="30" spans="1:103" x14ac:dyDescent="0.2">
      <c r="A30" s="25" t="s">
        <v>352</v>
      </c>
      <c r="B30" s="26" t="s">
        <v>353</v>
      </c>
      <c r="C30" s="25" t="s">
        <v>299</v>
      </c>
      <c r="D30" s="25"/>
      <c r="E30" s="25"/>
      <c r="F30" s="25"/>
      <c r="G30" s="25"/>
      <c r="H30" s="25"/>
      <c r="I30" s="25" t="s">
        <v>299</v>
      </c>
      <c r="J30" s="25"/>
      <c r="K30" s="25"/>
      <c r="L30" s="25"/>
      <c r="M30" s="25" t="s">
        <v>299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 t="s">
        <v>299</v>
      </c>
      <c r="AH30" s="25" t="s">
        <v>299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2">
        <f t="shared" si="0"/>
        <v>4</v>
      </c>
    </row>
    <row r="31" spans="1:103" x14ac:dyDescent="0.2">
      <c r="A31" s="25" t="s">
        <v>354</v>
      </c>
      <c r="B31" s="26" t="s">
        <v>355</v>
      </c>
      <c r="C31" s="25" t="s">
        <v>299</v>
      </c>
      <c r="D31" s="25"/>
      <c r="E31" s="25"/>
      <c r="F31" s="25" t="s">
        <v>299</v>
      </c>
      <c r="G31" s="25"/>
      <c r="H31" s="25"/>
      <c r="I31" s="25" t="s">
        <v>299</v>
      </c>
      <c r="J31" s="25" t="s">
        <v>299</v>
      </c>
      <c r="K31" s="25"/>
      <c r="L31" s="25"/>
      <c r="M31" s="25" t="s">
        <v>299</v>
      </c>
      <c r="N31" s="25"/>
      <c r="O31" s="25" t="s">
        <v>299</v>
      </c>
      <c r="P31" s="25" t="s">
        <v>299</v>
      </c>
      <c r="Q31" s="25"/>
      <c r="R31" s="25" t="s">
        <v>299</v>
      </c>
      <c r="S31" s="25"/>
      <c r="T31" s="25" t="s">
        <v>299</v>
      </c>
      <c r="U31" s="25" t="s">
        <v>299</v>
      </c>
      <c r="V31" s="25" t="s">
        <v>299</v>
      </c>
      <c r="W31" s="25" t="s">
        <v>299</v>
      </c>
      <c r="X31" s="25" t="s">
        <v>299</v>
      </c>
      <c r="Y31" s="25"/>
      <c r="Z31" s="25"/>
      <c r="AA31" s="25" t="s">
        <v>299</v>
      </c>
      <c r="AB31" s="25" t="s">
        <v>299</v>
      </c>
      <c r="AC31" s="25" t="s">
        <v>299</v>
      </c>
      <c r="AD31" s="25"/>
      <c r="AE31" s="25" t="s">
        <v>299</v>
      </c>
      <c r="AF31" s="25"/>
      <c r="AG31" s="25" t="s">
        <v>299</v>
      </c>
      <c r="AH31" s="25" t="s">
        <v>299</v>
      </c>
      <c r="AI31" s="25"/>
      <c r="AJ31" s="25"/>
      <c r="AK31" s="25"/>
      <c r="AL31" s="25" t="s">
        <v>299</v>
      </c>
      <c r="AM31" s="25" t="s">
        <v>299</v>
      </c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2">
        <f t="shared" si="0"/>
        <v>20</v>
      </c>
    </row>
    <row r="32" spans="1:103" x14ac:dyDescent="0.2">
      <c r="A32" s="25" t="s">
        <v>356</v>
      </c>
      <c r="B32" s="26" t="s">
        <v>357</v>
      </c>
      <c r="C32" s="25" t="s">
        <v>299</v>
      </c>
      <c r="D32" s="25"/>
      <c r="E32" s="25" t="s">
        <v>299</v>
      </c>
      <c r="F32" s="25" t="s">
        <v>299</v>
      </c>
      <c r="G32" s="25" t="s">
        <v>299</v>
      </c>
      <c r="H32" s="25"/>
      <c r="I32" s="25" t="s">
        <v>299</v>
      </c>
      <c r="J32" s="25"/>
      <c r="K32" s="25"/>
      <c r="L32" s="25"/>
      <c r="M32" s="25"/>
      <c r="N32" s="25"/>
      <c r="O32" s="25"/>
      <c r="P32" s="25" t="s">
        <v>299</v>
      </c>
      <c r="Q32" s="25" t="s">
        <v>299</v>
      </c>
      <c r="R32" s="25"/>
      <c r="S32" s="25"/>
      <c r="T32" s="25" t="s">
        <v>299</v>
      </c>
      <c r="U32" s="25"/>
      <c r="V32" s="25" t="s">
        <v>299</v>
      </c>
      <c r="W32" s="25" t="s">
        <v>299</v>
      </c>
      <c r="X32" s="25"/>
      <c r="Y32" s="25"/>
      <c r="Z32" s="25"/>
      <c r="AA32" s="25"/>
      <c r="AB32" s="25"/>
      <c r="AC32" s="25" t="s">
        <v>299</v>
      </c>
      <c r="AD32" s="25"/>
      <c r="AE32" s="25" t="s">
        <v>299</v>
      </c>
      <c r="AF32" s="25"/>
      <c r="AG32" s="25" t="s">
        <v>299</v>
      </c>
      <c r="AH32" s="25"/>
      <c r="AI32" s="25"/>
      <c r="AJ32" s="25"/>
      <c r="AK32" s="25" t="s">
        <v>299</v>
      </c>
      <c r="AL32" s="25" t="s">
        <v>299</v>
      </c>
      <c r="AM32" s="25" t="s">
        <v>299</v>
      </c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2">
        <f t="shared" si="0"/>
        <v>15</v>
      </c>
    </row>
    <row r="33" spans="1:103" x14ac:dyDescent="0.2">
      <c r="A33" s="25" t="s">
        <v>358</v>
      </c>
      <c r="B33" s="26" t="s">
        <v>359</v>
      </c>
      <c r="C33" s="25" t="s">
        <v>299</v>
      </c>
      <c r="D33" s="25"/>
      <c r="E33" s="25"/>
      <c r="F33" s="25"/>
      <c r="G33" s="25"/>
      <c r="H33" s="25"/>
      <c r="I33" s="25" t="s">
        <v>299</v>
      </c>
      <c r="J33" s="25"/>
      <c r="K33" s="25"/>
      <c r="L33" s="25" t="s">
        <v>299</v>
      </c>
      <c r="M33" s="25"/>
      <c r="N33" s="25" t="s">
        <v>299</v>
      </c>
      <c r="O33" s="25" t="s">
        <v>299</v>
      </c>
      <c r="P33" s="25" t="s">
        <v>299</v>
      </c>
      <c r="Q33" s="25" t="s">
        <v>299</v>
      </c>
      <c r="R33" s="25" t="s">
        <v>299</v>
      </c>
      <c r="S33" s="25"/>
      <c r="T33" s="25" t="s">
        <v>299</v>
      </c>
      <c r="U33" s="25"/>
      <c r="V33" s="25" t="s">
        <v>299</v>
      </c>
      <c r="W33" s="25" t="s">
        <v>299</v>
      </c>
      <c r="X33" s="25"/>
      <c r="Y33" s="25"/>
      <c r="Z33" s="25"/>
      <c r="AA33" s="25"/>
      <c r="AB33" s="25" t="s">
        <v>299</v>
      </c>
      <c r="AC33" s="25" t="s">
        <v>299</v>
      </c>
      <c r="AD33" s="25"/>
      <c r="AE33" s="25" t="s">
        <v>299</v>
      </c>
      <c r="AF33" s="25" t="s">
        <v>299</v>
      </c>
      <c r="AG33" s="25" t="s">
        <v>299</v>
      </c>
      <c r="AH33" s="25" t="s">
        <v>299</v>
      </c>
      <c r="AI33" s="25"/>
      <c r="AJ33" s="25"/>
      <c r="AK33" s="25"/>
      <c r="AL33" s="25"/>
      <c r="AM33" s="25" t="s">
        <v>299</v>
      </c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 t="s">
        <v>299</v>
      </c>
      <c r="BF33" s="25" t="s">
        <v>299</v>
      </c>
      <c r="BG33" s="25" t="s">
        <v>299</v>
      </c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 t="s">
        <v>299</v>
      </c>
      <c r="BX33" s="25" t="s">
        <v>299</v>
      </c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2">
        <f t="shared" si="0"/>
        <v>22</v>
      </c>
    </row>
    <row r="34" spans="1:103" x14ac:dyDescent="0.2">
      <c r="A34" s="25" t="s">
        <v>360</v>
      </c>
      <c r="B34" s="26" t="s">
        <v>361</v>
      </c>
      <c r="C34" s="25" t="s">
        <v>299</v>
      </c>
      <c r="D34" s="25"/>
      <c r="E34" s="25"/>
      <c r="F34" s="25" t="s">
        <v>299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 t="s">
        <v>299</v>
      </c>
      <c r="U34" s="25"/>
      <c r="V34" s="25" t="s">
        <v>299</v>
      </c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 t="s">
        <v>299</v>
      </c>
      <c r="AH34" s="25"/>
      <c r="AI34" s="25"/>
      <c r="AJ34" s="25"/>
      <c r="AK34" s="25"/>
      <c r="AL34" s="25" t="s">
        <v>299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 t="s">
        <v>299</v>
      </c>
      <c r="BF34" s="25" t="s">
        <v>299</v>
      </c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2">
        <f t="shared" si="0"/>
        <v>7</v>
      </c>
    </row>
    <row r="35" spans="1:103" x14ac:dyDescent="0.2">
      <c r="A35" s="25" t="s">
        <v>362</v>
      </c>
      <c r="B35" s="26" t="s">
        <v>363</v>
      </c>
      <c r="C35" s="25" t="s">
        <v>299</v>
      </c>
      <c r="D35" s="25" t="s">
        <v>299</v>
      </c>
      <c r="E35" s="25" t="s">
        <v>299</v>
      </c>
      <c r="F35" s="25" t="s">
        <v>299</v>
      </c>
      <c r="G35" s="25" t="s">
        <v>299</v>
      </c>
      <c r="H35" s="25" t="s">
        <v>299</v>
      </c>
      <c r="I35" s="25" t="s">
        <v>299</v>
      </c>
      <c r="J35" s="25" t="s">
        <v>299</v>
      </c>
      <c r="K35" s="25" t="s">
        <v>299</v>
      </c>
      <c r="L35" s="25" t="s">
        <v>299</v>
      </c>
      <c r="M35" s="25" t="s">
        <v>299</v>
      </c>
      <c r="N35" s="25"/>
      <c r="O35" s="25" t="s">
        <v>299</v>
      </c>
      <c r="P35" s="25" t="s">
        <v>299</v>
      </c>
      <c r="Q35" s="25" t="s">
        <v>299</v>
      </c>
      <c r="R35" s="25"/>
      <c r="S35" s="25"/>
      <c r="T35" s="25" t="s">
        <v>299</v>
      </c>
      <c r="U35" s="25" t="s">
        <v>299</v>
      </c>
      <c r="V35" s="25" t="s">
        <v>299</v>
      </c>
      <c r="W35" s="25"/>
      <c r="X35" s="25" t="s">
        <v>299</v>
      </c>
      <c r="Y35" s="25"/>
      <c r="Z35" s="25"/>
      <c r="AA35" s="25" t="s">
        <v>299</v>
      </c>
      <c r="AB35" s="25" t="s">
        <v>299</v>
      </c>
      <c r="AC35" s="25" t="s">
        <v>299</v>
      </c>
      <c r="AD35" s="25" t="s">
        <v>299</v>
      </c>
      <c r="AE35" s="25" t="s">
        <v>299</v>
      </c>
      <c r="AF35" s="25"/>
      <c r="AG35" s="25" t="s">
        <v>299</v>
      </c>
      <c r="AH35" s="25" t="s">
        <v>299</v>
      </c>
      <c r="AI35" s="25" t="s">
        <v>299</v>
      </c>
      <c r="AJ35" s="25" t="s">
        <v>299</v>
      </c>
      <c r="AK35" s="25" t="s">
        <v>299</v>
      </c>
      <c r="AL35" s="25" t="s">
        <v>299</v>
      </c>
      <c r="AM35" s="25" t="s">
        <v>299</v>
      </c>
      <c r="AN35" s="25" t="s">
        <v>299</v>
      </c>
      <c r="AO35" s="25"/>
      <c r="AP35" s="25"/>
      <c r="AQ35" s="25" t="s">
        <v>299</v>
      </c>
      <c r="AR35" s="25"/>
      <c r="AS35" s="25"/>
      <c r="AT35" s="25" t="s">
        <v>299</v>
      </c>
      <c r="AU35" s="25" t="s">
        <v>299</v>
      </c>
      <c r="AV35" s="25" t="s">
        <v>299</v>
      </c>
      <c r="AW35" s="25" t="s">
        <v>299</v>
      </c>
      <c r="AX35" s="25"/>
      <c r="AY35" s="25"/>
      <c r="AZ35" s="25"/>
      <c r="BA35" s="25" t="s">
        <v>299</v>
      </c>
      <c r="BB35" s="25" t="s">
        <v>299</v>
      </c>
      <c r="BC35" s="25" t="s">
        <v>299</v>
      </c>
      <c r="BD35" s="25"/>
      <c r="BE35" s="25" t="s">
        <v>299</v>
      </c>
      <c r="BF35" s="25" t="s">
        <v>299</v>
      </c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2">
        <f t="shared" si="0"/>
        <v>40</v>
      </c>
    </row>
    <row r="36" spans="1:103" x14ac:dyDescent="0.2">
      <c r="A36" s="25" t="s">
        <v>364</v>
      </c>
      <c r="B36" s="26" t="s">
        <v>365</v>
      </c>
      <c r="C36" s="25" t="s">
        <v>299</v>
      </c>
      <c r="D36" s="25"/>
      <c r="E36" s="25"/>
      <c r="F36" s="25" t="s">
        <v>299</v>
      </c>
      <c r="G36" s="25"/>
      <c r="H36" s="25"/>
      <c r="I36" s="25" t="s">
        <v>299</v>
      </c>
      <c r="J36" s="25"/>
      <c r="K36" s="25"/>
      <c r="L36" s="25" t="s">
        <v>299</v>
      </c>
      <c r="M36" s="25" t="s">
        <v>299</v>
      </c>
      <c r="N36" s="25"/>
      <c r="O36" s="25"/>
      <c r="P36" s="25" t="s">
        <v>299</v>
      </c>
      <c r="Q36" s="25" t="s">
        <v>299</v>
      </c>
      <c r="R36" s="25"/>
      <c r="S36" s="25"/>
      <c r="T36" s="25" t="s">
        <v>299</v>
      </c>
      <c r="U36" s="25"/>
      <c r="V36" s="25" t="s">
        <v>299</v>
      </c>
      <c r="W36" s="25" t="s">
        <v>299</v>
      </c>
      <c r="X36" s="25"/>
      <c r="Y36" s="25"/>
      <c r="Z36" s="25"/>
      <c r="AA36" s="25"/>
      <c r="AB36" s="25" t="s">
        <v>299</v>
      </c>
      <c r="AC36" s="25" t="s">
        <v>299</v>
      </c>
      <c r="AD36" s="25"/>
      <c r="AE36" s="25" t="s">
        <v>299</v>
      </c>
      <c r="AF36" s="25" t="s">
        <v>299</v>
      </c>
      <c r="AG36" s="25" t="s">
        <v>299</v>
      </c>
      <c r="AH36" s="25" t="s">
        <v>299</v>
      </c>
      <c r="AI36" s="25"/>
      <c r="AJ36" s="25"/>
      <c r="AK36" s="25"/>
      <c r="AL36" s="25" t="s">
        <v>299</v>
      </c>
      <c r="AM36" s="25" t="s">
        <v>299</v>
      </c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 t="s">
        <v>299</v>
      </c>
      <c r="BF36" s="25" t="s">
        <v>299</v>
      </c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2">
        <f t="shared" si="0"/>
        <v>19</v>
      </c>
    </row>
    <row r="37" spans="1:103" x14ac:dyDescent="0.2">
      <c r="A37" s="25" t="s">
        <v>366</v>
      </c>
      <c r="B37" s="26" t="s">
        <v>367</v>
      </c>
      <c r="C37" s="25" t="s">
        <v>299</v>
      </c>
      <c r="D37" s="25"/>
      <c r="E37" s="25"/>
      <c r="F37" s="25"/>
      <c r="G37" s="25"/>
      <c r="H37" s="25"/>
      <c r="I37" s="25" t="s">
        <v>299</v>
      </c>
      <c r="J37" s="25"/>
      <c r="K37" s="25"/>
      <c r="L37" s="25" t="s">
        <v>299</v>
      </c>
      <c r="M37" s="25"/>
      <c r="N37" s="25"/>
      <c r="O37" s="25"/>
      <c r="P37" s="25"/>
      <c r="Q37" s="25"/>
      <c r="R37" s="25"/>
      <c r="S37" s="25"/>
      <c r="T37" s="25"/>
      <c r="U37" s="25" t="s">
        <v>299</v>
      </c>
      <c r="V37" s="25" t="s">
        <v>299</v>
      </c>
      <c r="W37" s="25" t="s">
        <v>299</v>
      </c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 t="s">
        <v>299</v>
      </c>
      <c r="AM37" s="25" t="s">
        <v>299</v>
      </c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 t="s">
        <v>299</v>
      </c>
      <c r="BF37" s="25" t="s">
        <v>299</v>
      </c>
      <c r="BG37" s="25" t="s">
        <v>299</v>
      </c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2">
        <f t="shared" si="0"/>
        <v>10</v>
      </c>
    </row>
    <row r="38" spans="1:103" x14ac:dyDescent="0.2">
      <c r="A38" s="25" t="s">
        <v>368</v>
      </c>
      <c r="B38" s="26" t="s">
        <v>369</v>
      </c>
      <c r="C38" s="25" t="s">
        <v>299</v>
      </c>
      <c r="D38" s="25" t="s">
        <v>299</v>
      </c>
      <c r="E38" s="25" t="s">
        <v>299</v>
      </c>
      <c r="F38" s="25" t="s">
        <v>299</v>
      </c>
      <c r="G38" s="25" t="s">
        <v>299</v>
      </c>
      <c r="H38" s="25" t="s">
        <v>299</v>
      </c>
      <c r="I38" s="25" t="s">
        <v>299</v>
      </c>
      <c r="J38" s="25" t="s">
        <v>299</v>
      </c>
      <c r="K38" s="25" t="s">
        <v>299</v>
      </c>
      <c r="L38" s="25" t="s">
        <v>299</v>
      </c>
      <c r="M38" s="25" t="s">
        <v>299</v>
      </c>
      <c r="N38" s="25" t="s">
        <v>299</v>
      </c>
      <c r="O38" s="25" t="s">
        <v>299</v>
      </c>
      <c r="P38" s="25" t="s">
        <v>299</v>
      </c>
      <c r="Q38" s="25"/>
      <c r="R38" s="25" t="s">
        <v>299</v>
      </c>
      <c r="S38" s="25"/>
      <c r="T38" s="25" t="s">
        <v>299</v>
      </c>
      <c r="U38" s="25" t="s">
        <v>299</v>
      </c>
      <c r="V38" s="25" t="s">
        <v>299</v>
      </c>
      <c r="W38" s="25"/>
      <c r="X38" s="25"/>
      <c r="Y38" s="25"/>
      <c r="Z38" s="25"/>
      <c r="AA38" s="25"/>
      <c r="AB38" s="25"/>
      <c r="AC38" s="25" t="s">
        <v>299</v>
      </c>
      <c r="AD38" s="25"/>
      <c r="AE38" s="25" t="s">
        <v>299</v>
      </c>
      <c r="AF38" s="25" t="s">
        <v>299</v>
      </c>
      <c r="AG38" s="25" t="s">
        <v>299</v>
      </c>
      <c r="AH38" s="25" t="s">
        <v>299</v>
      </c>
      <c r="AI38" s="25" t="s">
        <v>299</v>
      </c>
      <c r="AJ38" s="25" t="s">
        <v>299</v>
      </c>
      <c r="AK38" s="25" t="s">
        <v>299</v>
      </c>
      <c r="AL38" s="25" t="s">
        <v>299</v>
      </c>
      <c r="AM38" s="25" t="s">
        <v>299</v>
      </c>
      <c r="AN38" s="25"/>
      <c r="AO38" s="25"/>
      <c r="AP38" s="25"/>
      <c r="AQ38" s="25" t="s">
        <v>299</v>
      </c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 t="s">
        <v>299</v>
      </c>
      <c r="BF38" s="25" t="s">
        <v>299</v>
      </c>
      <c r="BG38" s="25" t="s">
        <v>299</v>
      </c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2">
        <f t="shared" si="0"/>
        <v>31</v>
      </c>
    </row>
    <row r="39" spans="1:103" x14ac:dyDescent="0.2">
      <c r="A39" s="25" t="s">
        <v>370</v>
      </c>
      <c r="B39" s="26" t="s">
        <v>371</v>
      </c>
      <c r="C39" s="25" t="s">
        <v>299</v>
      </c>
      <c r="D39" s="25"/>
      <c r="E39" s="25"/>
      <c r="F39" s="25" t="s">
        <v>299</v>
      </c>
      <c r="G39" s="25" t="s">
        <v>299</v>
      </c>
      <c r="H39" s="25"/>
      <c r="I39" s="25" t="s">
        <v>299</v>
      </c>
      <c r="J39" s="25" t="s">
        <v>299</v>
      </c>
      <c r="K39" s="25"/>
      <c r="L39" s="25"/>
      <c r="M39" s="25" t="s">
        <v>299</v>
      </c>
      <c r="N39" s="25"/>
      <c r="O39" s="25"/>
      <c r="P39" s="25" t="s">
        <v>299</v>
      </c>
      <c r="Q39" s="25"/>
      <c r="R39" s="25" t="s">
        <v>299</v>
      </c>
      <c r="S39" s="25"/>
      <c r="T39" s="25" t="s">
        <v>299</v>
      </c>
      <c r="U39" s="25" t="s">
        <v>299</v>
      </c>
      <c r="V39" s="25" t="s">
        <v>299</v>
      </c>
      <c r="W39" s="25" t="s">
        <v>299</v>
      </c>
      <c r="X39" s="25"/>
      <c r="Y39" s="25"/>
      <c r="Z39" s="25"/>
      <c r="AA39" s="25"/>
      <c r="AB39" s="25"/>
      <c r="AC39" s="25" t="s">
        <v>299</v>
      </c>
      <c r="AD39" s="25"/>
      <c r="AE39" s="25" t="s">
        <v>299</v>
      </c>
      <c r="AF39" s="25" t="s">
        <v>299</v>
      </c>
      <c r="AG39" s="25" t="s">
        <v>299</v>
      </c>
      <c r="AH39" s="25" t="s">
        <v>299</v>
      </c>
      <c r="AI39" s="25"/>
      <c r="AJ39" s="25"/>
      <c r="AK39" s="25" t="s">
        <v>299</v>
      </c>
      <c r="AL39" s="25" t="s">
        <v>299</v>
      </c>
      <c r="AM39" s="25" t="s">
        <v>299</v>
      </c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 t="s">
        <v>299</v>
      </c>
      <c r="BF39" s="25" t="s">
        <v>299</v>
      </c>
      <c r="BG39" s="25" t="s">
        <v>299</v>
      </c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2">
        <f t="shared" si="0"/>
        <v>22</v>
      </c>
    </row>
    <row r="40" spans="1:103" x14ac:dyDescent="0.2">
      <c r="A40" s="25" t="s">
        <v>372</v>
      </c>
      <c r="B40" s="26" t="s">
        <v>37</v>
      </c>
      <c r="C40" s="25" t="s">
        <v>299</v>
      </c>
      <c r="D40" s="25"/>
      <c r="E40" s="25" t="s">
        <v>299</v>
      </c>
      <c r="F40" s="25" t="s">
        <v>299</v>
      </c>
      <c r="G40" s="25" t="s">
        <v>299</v>
      </c>
      <c r="H40" s="25"/>
      <c r="I40" s="25" t="s">
        <v>299</v>
      </c>
      <c r="J40" s="25" t="s">
        <v>299</v>
      </c>
      <c r="K40" s="25"/>
      <c r="L40" s="25" t="s">
        <v>299</v>
      </c>
      <c r="M40" s="25"/>
      <c r="N40" s="25" t="s">
        <v>299</v>
      </c>
      <c r="O40" s="25" t="s">
        <v>299</v>
      </c>
      <c r="P40" s="25" t="s">
        <v>299</v>
      </c>
      <c r="Q40" s="25" t="s">
        <v>299</v>
      </c>
      <c r="R40" s="25" t="s">
        <v>299</v>
      </c>
      <c r="S40" s="25"/>
      <c r="T40" s="25" t="s">
        <v>299</v>
      </c>
      <c r="U40" s="25" t="s">
        <v>299</v>
      </c>
      <c r="V40" s="25" t="s">
        <v>299</v>
      </c>
      <c r="W40" s="25" t="s">
        <v>299</v>
      </c>
      <c r="X40" s="25" t="s">
        <v>299</v>
      </c>
      <c r="Y40" s="25" t="s">
        <v>299</v>
      </c>
      <c r="Z40" s="25" t="s">
        <v>299</v>
      </c>
      <c r="AA40" s="25" t="s">
        <v>299</v>
      </c>
      <c r="AB40" s="25" t="s">
        <v>299</v>
      </c>
      <c r="AC40" s="25" t="s">
        <v>299</v>
      </c>
      <c r="AD40" s="25"/>
      <c r="AE40" s="25" t="s">
        <v>299</v>
      </c>
      <c r="AF40" s="25" t="s">
        <v>299</v>
      </c>
      <c r="AG40" s="25" t="s">
        <v>299</v>
      </c>
      <c r="AH40" s="25" t="s">
        <v>299</v>
      </c>
      <c r="AI40" s="25"/>
      <c r="AJ40" s="25"/>
      <c r="AK40" s="25" t="s">
        <v>299</v>
      </c>
      <c r="AL40" s="25" t="s">
        <v>299</v>
      </c>
      <c r="AM40" s="25" t="s">
        <v>299</v>
      </c>
      <c r="AN40" s="25"/>
      <c r="AO40" s="25"/>
      <c r="AP40" s="25"/>
      <c r="AQ40" s="25" t="s">
        <v>299</v>
      </c>
      <c r="AR40" s="25" t="s">
        <v>299</v>
      </c>
      <c r="AS40" s="25" t="s">
        <v>299</v>
      </c>
      <c r="AT40" s="25" t="s">
        <v>299</v>
      </c>
      <c r="AU40" s="25" t="s">
        <v>299</v>
      </c>
      <c r="AV40" s="25" t="s">
        <v>299</v>
      </c>
      <c r="AW40" s="25"/>
      <c r="AX40" s="25" t="s">
        <v>299</v>
      </c>
      <c r="AY40" s="25" t="s">
        <v>299</v>
      </c>
      <c r="AZ40" s="25"/>
      <c r="BA40" s="25" t="s">
        <v>299</v>
      </c>
      <c r="BB40" s="25" t="s">
        <v>299</v>
      </c>
      <c r="BC40" s="25" t="s">
        <v>299</v>
      </c>
      <c r="BD40" s="25"/>
      <c r="BE40" s="25" t="s">
        <v>299</v>
      </c>
      <c r="BF40" s="25" t="s">
        <v>299</v>
      </c>
      <c r="BG40" s="25" t="s">
        <v>299</v>
      </c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 t="s">
        <v>299</v>
      </c>
      <c r="BX40" s="25" t="s">
        <v>299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 t="s">
        <v>299</v>
      </c>
      <c r="CK40" s="25"/>
      <c r="CL40" s="25"/>
      <c r="CM40" s="25"/>
      <c r="CN40" s="25"/>
      <c r="CO40" s="25"/>
      <c r="CP40" s="25"/>
      <c r="CQ40" s="25"/>
      <c r="CR40" s="25" t="s">
        <v>299</v>
      </c>
      <c r="CS40" s="25" t="s">
        <v>299</v>
      </c>
      <c r="CT40" s="25" t="s">
        <v>299</v>
      </c>
      <c r="CU40" s="25" t="s">
        <v>299</v>
      </c>
      <c r="CV40" s="25" t="s">
        <v>299</v>
      </c>
      <c r="CW40" s="25"/>
      <c r="CX40" s="25"/>
      <c r="CY40" s="22">
        <f t="shared" si="0"/>
        <v>50</v>
      </c>
    </row>
    <row r="41" spans="1:103" x14ac:dyDescent="0.2">
      <c r="A41" s="25" t="s">
        <v>373</v>
      </c>
      <c r="B41" s="26" t="s">
        <v>374</v>
      </c>
      <c r="C41" s="25" t="s">
        <v>299</v>
      </c>
      <c r="D41" s="25"/>
      <c r="E41" s="25"/>
      <c r="F41" s="25"/>
      <c r="G41" s="25"/>
      <c r="H41" s="25"/>
      <c r="I41" s="25" t="s">
        <v>299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 t="s">
        <v>299</v>
      </c>
      <c r="W41" s="25" t="s">
        <v>299</v>
      </c>
      <c r="X41" s="25"/>
      <c r="Y41" s="25"/>
      <c r="Z41" s="25"/>
      <c r="AA41" s="25"/>
      <c r="AB41" s="25"/>
      <c r="AC41" s="25"/>
      <c r="AD41" s="25"/>
      <c r="AE41" s="25"/>
      <c r="AF41" s="25"/>
      <c r="AG41" s="25" t="s">
        <v>299</v>
      </c>
      <c r="AH41" s="25" t="s">
        <v>299</v>
      </c>
      <c r="AI41" s="25"/>
      <c r="AJ41" s="25"/>
      <c r="AK41" s="25"/>
      <c r="AL41" s="25" t="s">
        <v>299</v>
      </c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2">
        <f t="shared" si="0"/>
        <v>6</v>
      </c>
    </row>
    <row r="42" spans="1:103" x14ac:dyDescent="0.2">
      <c r="A42" s="25" t="s">
        <v>375</v>
      </c>
      <c r="B42" s="26" t="s">
        <v>376</v>
      </c>
      <c r="C42" s="25" t="s">
        <v>299</v>
      </c>
      <c r="D42" s="25"/>
      <c r="E42" s="25"/>
      <c r="F42" s="25"/>
      <c r="G42" s="25"/>
      <c r="H42" s="25"/>
      <c r="I42" s="25" t="s">
        <v>299</v>
      </c>
      <c r="J42" s="25"/>
      <c r="K42" s="25"/>
      <c r="L42" s="25" t="s">
        <v>299</v>
      </c>
      <c r="M42" s="25"/>
      <c r="N42" s="25"/>
      <c r="O42" s="25"/>
      <c r="P42" s="25"/>
      <c r="Q42" s="25" t="s">
        <v>299</v>
      </c>
      <c r="R42" s="25"/>
      <c r="S42" s="25"/>
      <c r="T42" s="25"/>
      <c r="U42" s="25"/>
      <c r="V42" s="25" t="s">
        <v>299</v>
      </c>
      <c r="W42" s="25"/>
      <c r="X42" s="25"/>
      <c r="Y42" s="25"/>
      <c r="Z42" s="25"/>
      <c r="AA42" s="25"/>
      <c r="AB42" s="25" t="s">
        <v>299</v>
      </c>
      <c r="AC42" s="25" t="s">
        <v>299</v>
      </c>
      <c r="AD42" s="25"/>
      <c r="AE42" s="25" t="s">
        <v>299</v>
      </c>
      <c r="AF42" s="25" t="s">
        <v>299</v>
      </c>
      <c r="AG42" s="25"/>
      <c r="AH42" s="25" t="s">
        <v>299</v>
      </c>
      <c r="AI42" s="25"/>
      <c r="AJ42" s="25"/>
      <c r="AK42" s="25"/>
      <c r="AL42" s="25" t="s">
        <v>299</v>
      </c>
      <c r="AM42" s="25" t="s">
        <v>299</v>
      </c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 t="s">
        <v>299</v>
      </c>
      <c r="BF42" s="25" t="s">
        <v>299</v>
      </c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 t="s">
        <v>299</v>
      </c>
      <c r="BX42" s="25" t="s">
        <v>299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2">
        <f t="shared" si="0"/>
        <v>15</v>
      </c>
    </row>
    <row r="43" spans="1:103" x14ac:dyDescent="0.2">
      <c r="A43" s="25" t="s">
        <v>377</v>
      </c>
      <c r="B43" s="26" t="s">
        <v>378</v>
      </c>
      <c r="C43" s="25" t="s">
        <v>299</v>
      </c>
      <c r="D43" s="25"/>
      <c r="E43" s="25"/>
      <c r="F43" s="25"/>
      <c r="G43" s="25"/>
      <c r="H43" s="25"/>
      <c r="I43" s="25" t="s">
        <v>299</v>
      </c>
      <c r="J43" s="25"/>
      <c r="K43" s="25"/>
      <c r="L43" s="25"/>
      <c r="M43" s="25"/>
      <c r="N43" s="25"/>
      <c r="O43" s="25"/>
      <c r="P43" s="25" t="s">
        <v>299</v>
      </c>
      <c r="Q43" s="25"/>
      <c r="R43" s="25"/>
      <c r="S43" s="25"/>
      <c r="T43" s="25" t="s">
        <v>299</v>
      </c>
      <c r="U43" s="25"/>
      <c r="V43" s="25" t="s">
        <v>299</v>
      </c>
      <c r="W43" s="25" t="s">
        <v>299</v>
      </c>
      <c r="X43" s="25"/>
      <c r="Y43" s="25"/>
      <c r="Z43" s="25"/>
      <c r="AA43" s="25"/>
      <c r="AB43" s="25"/>
      <c r="AC43" s="25" t="s">
        <v>299</v>
      </c>
      <c r="AD43" s="25"/>
      <c r="AE43" s="25" t="s">
        <v>299</v>
      </c>
      <c r="AF43" s="25"/>
      <c r="AG43" s="25" t="s">
        <v>299</v>
      </c>
      <c r="AH43" s="25" t="s">
        <v>299</v>
      </c>
      <c r="AI43" s="25"/>
      <c r="AJ43" s="25"/>
      <c r="AK43" s="25"/>
      <c r="AL43" s="25" t="s">
        <v>299</v>
      </c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2">
        <f t="shared" si="0"/>
        <v>10</v>
      </c>
    </row>
    <row r="44" spans="1:103" x14ac:dyDescent="0.2">
      <c r="A44" s="25" t="s">
        <v>379</v>
      </c>
      <c r="B44" s="26" t="s">
        <v>380</v>
      </c>
      <c r="C44" s="25" t="s">
        <v>299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 t="s">
        <v>299</v>
      </c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2">
        <f t="shared" si="0"/>
        <v>1</v>
      </c>
    </row>
    <row r="45" spans="1:103" x14ac:dyDescent="0.2">
      <c r="A45" s="25" t="s">
        <v>381</v>
      </c>
      <c r="B45" s="26" t="s">
        <v>382</v>
      </c>
      <c r="C45" s="25" t="s">
        <v>299</v>
      </c>
      <c r="D45" s="25"/>
      <c r="E45" s="25" t="s">
        <v>299</v>
      </c>
      <c r="F45" s="25" t="s">
        <v>299</v>
      </c>
      <c r="G45" s="25" t="s">
        <v>299</v>
      </c>
      <c r="H45" s="25"/>
      <c r="I45" s="25" t="s">
        <v>299</v>
      </c>
      <c r="J45" s="25" t="s">
        <v>299</v>
      </c>
      <c r="K45" s="25"/>
      <c r="L45" s="25" t="s">
        <v>299</v>
      </c>
      <c r="M45" s="25" t="s">
        <v>299</v>
      </c>
      <c r="N45" s="25" t="s">
        <v>299</v>
      </c>
      <c r="O45" s="25" t="s">
        <v>299</v>
      </c>
      <c r="P45" s="25" t="s">
        <v>299</v>
      </c>
      <c r="Q45" s="25" t="s">
        <v>299</v>
      </c>
      <c r="R45" s="25" t="s">
        <v>299</v>
      </c>
      <c r="S45" s="25"/>
      <c r="T45" s="25" t="s">
        <v>299</v>
      </c>
      <c r="U45" s="25" t="s">
        <v>299</v>
      </c>
      <c r="V45" s="25" t="s">
        <v>299</v>
      </c>
      <c r="W45" s="25" t="s">
        <v>299</v>
      </c>
      <c r="X45" s="25"/>
      <c r="Y45" s="25"/>
      <c r="Z45" s="25"/>
      <c r="AA45" s="25"/>
      <c r="AB45" s="25" t="s">
        <v>299</v>
      </c>
      <c r="AC45" s="25" t="s">
        <v>299</v>
      </c>
      <c r="AD45" s="25" t="s">
        <v>299</v>
      </c>
      <c r="AE45" s="25" t="s">
        <v>299</v>
      </c>
      <c r="AF45" s="25" t="s">
        <v>299</v>
      </c>
      <c r="AG45" s="25" t="s">
        <v>299</v>
      </c>
      <c r="AH45" s="25" t="s">
        <v>299</v>
      </c>
      <c r="AI45" s="25" t="s">
        <v>299</v>
      </c>
      <c r="AJ45" s="25" t="s">
        <v>299</v>
      </c>
      <c r="AK45" s="25"/>
      <c r="AL45" s="25" t="s">
        <v>299</v>
      </c>
      <c r="AM45" s="25" t="s">
        <v>299</v>
      </c>
      <c r="AN45" s="25"/>
      <c r="AO45" s="25"/>
      <c r="AP45" s="25"/>
      <c r="AQ45" s="25" t="s">
        <v>299</v>
      </c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 t="s">
        <v>299</v>
      </c>
      <c r="BF45" s="25" t="s">
        <v>299</v>
      </c>
      <c r="BG45" s="25" t="s">
        <v>299</v>
      </c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2">
        <f t="shared" si="0"/>
        <v>31</v>
      </c>
    </row>
    <row r="46" spans="1:103" x14ac:dyDescent="0.2">
      <c r="A46" s="25" t="s">
        <v>383</v>
      </c>
      <c r="B46" s="26" t="s">
        <v>384</v>
      </c>
      <c r="C46" s="25" t="s">
        <v>299</v>
      </c>
      <c r="D46" s="25"/>
      <c r="E46" s="25"/>
      <c r="F46" s="25" t="s">
        <v>299</v>
      </c>
      <c r="G46" s="25"/>
      <c r="H46" s="25"/>
      <c r="I46" s="25" t="s">
        <v>299</v>
      </c>
      <c r="J46" s="25" t="s">
        <v>299</v>
      </c>
      <c r="K46" s="25"/>
      <c r="L46" s="25" t="s">
        <v>299</v>
      </c>
      <c r="M46" s="25" t="s">
        <v>299</v>
      </c>
      <c r="N46" s="25" t="s">
        <v>299</v>
      </c>
      <c r="O46" s="25" t="s">
        <v>299</v>
      </c>
      <c r="P46" s="25" t="s">
        <v>299</v>
      </c>
      <c r="Q46" s="25" t="s">
        <v>299</v>
      </c>
      <c r="R46" s="25" t="s">
        <v>299</v>
      </c>
      <c r="S46" s="25"/>
      <c r="T46" s="25" t="s">
        <v>299</v>
      </c>
      <c r="U46" s="25" t="s">
        <v>299</v>
      </c>
      <c r="V46" s="25" t="s">
        <v>299</v>
      </c>
      <c r="W46" s="25" t="s">
        <v>299</v>
      </c>
      <c r="X46" s="25" t="s">
        <v>299</v>
      </c>
      <c r="Y46" s="25" t="s">
        <v>299</v>
      </c>
      <c r="Z46" s="25" t="s">
        <v>299</v>
      </c>
      <c r="AA46" s="25" t="s">
        <v>299</v>
      </c>
      <c r="AB46" s="25" t="s">
        <v>299</v>
      </c>
      <c r="AC46" s="25" t="s">
        <v>299</v>
      </c>
      <c r="AD46" s="25"/>
      <c r="AE46" s="25" t="s">
        <v>299</v>
      </c>
      <c r="AF46" s="25" t="s">
        <v>299</v>
      </c>
      <c r="AG46" s="25" t="s">
        <v>299</v>
      </c>
      <c r="AH46" s="25" t="s">
        <v>299</v>
      </c>
      <c r="AI46" s="25"/>
      <c r="AJ46" s="25"/>
      <c r="AK46" s="25" t="s">
        <v>299</v>
      </c>
      <c r="AL46" s="25" t="s">
        <v>299</v>
      </c>
      <c r="AM46" s="25" t="s">
        <v>299</v>
      </c>
      <c r="AN46" s="25"/>
      <c r="AO46" s="25"/>
      <c r="AP46" s="25"/>
      <c r="AQ46" s="25" t="s">
        <v>299</v>
      </c>
      <c r="AR46" s="25" t="s">
        <v>299</v>
      </c>
      <c r="AS46" s="25" t="s">
        <v>299</v>
      </c>
      <c r="AT46" s="25" t="s">
        <v>299</v>
      </c>
      <c r="AU46" s="25" t="s">
        <v>299</v>
      </c>
      <c r="AV46" s="25" t="s">
        <v>299</v>
      </c>
      <c r="AW46" s="25"/>
      <c r="AX46" s="25" t="s">
        <v>299</v>
      </c>
      <c r="AY46" s="25" t="s">
        <v>299</v>
      </c>
      <c r="AZ46" s="25"/>
      <c r="BA46" s="25" t="s">
        <v>299</v>
      </c>
      <c r="BB46" s="25" t="s">
        <v>299</v>
      </c>
      <c r="BC46" s="25" t="s">
        <v>299</v>
      </c>
      <c r="BD46" s="25"/>
      <c r="BE46" s="25" t="s">
        <v>299</v>
      </c>
      <c r="BF46" s="25" t="s">
        <v>299</v>
      </c>
      <c r="BG46" s="25" t="s">
        <v>299</v>
      </c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 t="s">
        <v>299</v>
      </c>
      <c r="BW46" s="25" t="s">
        <v>299</v>
      </c>
      <c r="BX46" s="25" t="s">
        <v>299</v>
      </c>
      <c r="BY46" s="25" t="s">
        <v>299</v>
      </c>
      <c r="BZ46" s="25" t="s">
        <v>299</v>
      </c>
      <c r="CA46" s="25"/>
      <c r="CB46" s="25"/>
      <c r="CC46" s="25"/>
      <c r="CD46" s="25" t="s">
        <v>299</v>
      </c>
      <c r="CE46" s="25"/>
      <c r="CF46" s="25"/>
      <c r="CG46" s="25"/>
      <c r="CH46" s="25"/>
      <c r="CI46" s="25"/>
      <c r="CJ46" s="25" t="s">
        <v>299</v>
      </c>
      <c r="CK46" s="25"/>
      <c r="CL46" s="25"/>
      <c r="CM46" s="25"/>
      <c r="CN46" s="25"/>
      <c r="CO46" s="25"/>
      <c r="CP46" s="25"/>
      <c r="CQ46" s="25"/>
      <c r="CR46" s="25" t="s">
        <v>299</v>
      </c>
      <c r="CS46" s="25" t="s">
        <v>299</v>
      </c>
      <c r="CT46" s="25" t="s">
        <v>299</v>
      </c>
      <c r="CU46" s="25" t="s">
        <v>299</v>
      </c>
      <c r="CV46" s="25" t="s">
        <v>299</v>
      </c>
      <c r="CW46" s="25"/>
      <c r="CX46" s="25"/>
      <c r="CY46" s="22">
        <f t="shared" si="0"/>
        <v>53</v>
      </c>
    </row>
    <row r="47" spans="1:103" x14ac:dyDescent="0.2">
      <c r="A47" s="25" t="s">
        <v>385</v>
      </c>
      <c r="B47" s="26" t="s">
        <v>386</v>
      </c>
      <c r="C47" s="25" t="s">
        <v>299</v>
      </c>
      <c r="D47" s="25"/>
      <c r="E47" s="25"/>
      <c r="F47" s="25" t="s">
        <v>299</v>
      </c>
      <c r="G47" s="25"/>
      <c r="H47" s="25"/>
      <c r="I47" s="25" t="s">
        <v>299</v>
      </c>
      <c r="J47" s="25"/>
      <c r="K47" s="25"/>
      <c r="L47" s="25"/>
      <c r="M47" s="25" t="s">
        <v>299</v>
      </c>
      <c r="N47" s="25"/>
      <c r="O47" s="25"/>
      <c r="P47" s="25"/>
      <c r="Q47" s="25"/>
      <c r="R47" s="25"/>
      <c r="S47" s="25"/>
      <c r="T47" s="25"/>
      <c r="U47" s="25"/>
      <c r="V47" s="25" t="s">
        <v>299</v>
      </c>
      <c r="W47" s="25" t="s">
        <v>299</v>
      </c>
      <c r="X47" s="25"/>
      <c r="Y47" s="25"/>
      <c r="Z47" s="25"/>
      <c r="AA47" s="25"/>
      <c r="AB47" s="25"/>
      <c r="AC47" s="25"/>
      <c r="AD47" s="25"/>
      <c r="AE47" s="25"/>
      <c r="AF47" s="25" t="s">
        <v>299</v>
      </c>
      <c r="AG47" s="25"/>
      <c r="AH47" s="25"/>
      <c r="AI47" s="25"/>
      <c r="AJ47" s="25"/>
      <c r="AK47" s="25"/>
      <c r="AL47" s="25" t="s">
        <v>299</v>
      </c>
      <c r="AM47" s="25" t="s">
        <v>299</v>
      </c>
      <c r="AN47" s="25"/>
      <c r="AO47" s="25"/>
      <c r="AP47" s="25"/>
      <c r="AQ47" s="25"/>
      <c r="AR47" s="25"/>
      <c r="AS47" s="25"/>
      <c r="AT47" s="25"/>
      <c r="AU47" s="25"/>
      <c r="AV47" s="25" t="s">
        <v>299</v>
      </c>
      <c r="AW47" s="25" t="s">
        <v>299</v>
      </c>
      <c r="AX47" s="25"/>
      <c r="AY47" s="25"/>
      <c r="AZ47" s="25"/>
      <c r="BA47" s="25" t="s">
        <v>299</v>
      </c>
      <c r="BB47" s="25"/>
      <c r="BC47" s="25" t="s">
        <v>299</v>
      </c>
      <c r="BD47" s="25"/>
      <c r="BE47" s="25" t="s">
        <v>299</v>
      </c>
      <c r="BF47" s="25" t="s">
        <v>299</v>
      </c>
      <c r="BG47" s="25" t="s">
        <v>299</v>
      </c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2">
        <f t="shared" si="0"/>
        <v>15</v>
      </c>
    </row>
    <row r="48" spans="1:103" x14ac:dyDescent="0.2">
      <c r="A48" s="25" t="s">
        <v>387</v>
      </c>
      <c r="B48" s="26" t="s">
        <v>388</v>
      </c>
      <c r="C48" s="25" t="s">
        <v>299</v>
      </c>
      <c r="D48" s="25"/>
      <c r="E48" s="25"/>
      <c r="F48" s="25"/>
      <c r="G48" s="25"/>
      <c r="H48" s="25"/>
      <c r="I48" s="25" t="s">
        <v>299</v>
      </c>
      <c r="J48" s="25" t="s">
        <v>299</v>
      </c>
      <c r="K48" s="25"/>
      <c r="L48" s="25" t="s">
        <v>299</v>
      </c>
      <c r="M48" s="25" t="s">
        <v>299</v>
      </c>
      <c r="N48" s="25" t="s">
        <v>299</v>
      </c>
      <c r="O48" s="25" t="s">
        <v>299</v>
      </c>
      <c r="P48" s="25" t="s">
        <v>299</v>
      </c>
      <c r="Q48" s="25"/>
      <c r="R48" s="25" t="s">
        <v>299</v>
      </c>
      <c r="S48" s="25"/>
      <c r="T48" s="25" t="s">
        <v>299</v>
      </c>
      <c r="U48" s="25" t="s">
        <v>299</v>
      </c>
      <c r="V48" s="25" t="s">
        <v>299</v>
      </c>
      <c r="W48" s="25" t="s">
        <v>299</v>
      </c>
      <c r="X48" s="25"/>
      <c r="Y48" s="25"/>
      <c r="Z48" s="25"/>
      <c r="AA48" s="25"/>
      <c r="AB48" s="25" t="s">
        <v>299</v>
      </c>
      <c r="AC48" s="25" t="s">
        <v>299</v>
      </c>
      <c r="AD48" s="25" t="s">
        <v>299</v>
      </c>
      <c r="AE48" s="25" t="s">
        <v>299</v>
      </c>
      <c r="AF48" s="25" t="s">
        <v>299</v>
      </c>
      <c r="AG48" s="25" t="s">
        <v>299</v>
      </c>
      <c r="AH48" s="25" t="s">
        <v>299</v>
      </c>
      <c r="AI48" s="25"/>
      <c r="AJ48" s="25"/>
      <c r="AK48" s="25"/>
      <c r="AL48" s="25" t="s">
        <v>299</v>
      </c>
      <c r="AM48" s="25" t="s">
        <v>299</v>
      </c>
      <c r="AN48" s="25"/>
      <c r="AO48" s="25"/>
      <c r="AP48" s="25"/>
      <c r="AQ48" s="25" t="s">
        <v>299</v>
      </c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 t="s">
        <v>299</v>
      </c>
      <c r="BF48" s="25" t="s">
        <v>299</v>
      </c>
      <c r="BG48" s="25" t="s">
        <v>299</v>
      </c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2">
        <f t="shared" si="0"/>
        <v>25</v>
      </c>
    </row>
    <row r="49" spans="1:103" x14ac:dyDescent="0.2">
      <c r="A49" s="25" t="s">
        <v>389</v>
      </c>
      <c r="B49" s="26" t="s">
        <v>390</v>
      </c>
      <c r="C49" s="25" t="s">
        <v>299</v>
      </c>
      <c r="D49" s="25"/>
      <c r="E49" s="25" t="s">
        <v>299</v>
      </c>
      <c r="F49" s="25" t="s">
        <v>299</v>
      </c>
      <c r="G49" s="25"/>
      <c r="H49" s="25"/>
      <c r="I49" s="25" t="s">
        <v>299</v>
      </c>
      <c r="J49" s="25" t="s">
        <v>299</v>
      </c>
      <c r="K49" s="25"/>
      <c r="L49" s="25" t="s">
        <v>299</v>
      </c>
      <c r="M49" s="25"/>
      <c r="N49" s="25"/>
      <c r="O49" s="25"/>
      <c r="P49" s="25" t="s">
        <v>299</v>
      </c>
      <c r="Q49" s="25" t="s">
        <v>299</v>
      </c>
      <c r="R49" s="25" t="s">
        <v>299</v>
      </c>
      <c r="S49" s="25"/>
      <c r="T49" s="25" t="s">
        <v>299</v>
      </c>
      <c r="U49" s="25" t="s">
        <v>299</v>
      </c>
      <c r="V49" s="25" t="s">
        <v>299</v>
      </c>
      <c r="W49" s="25" t="s">
        <v>299</v>
      </c>
      <c r="X49" s="25" t="s">
        <v>299</v>
      </c>
      <c r="Y49" s="25"/>
      <c r="Z49" s="25"/>
      <c r="AA49" s="25" t="s">
        <v>299</v>
      </c>
      <c r="AB49" s="25" t="s">
        <v>299</v>
      </c>
      <c r="AC49" s="25" t="s">
        <v>299</v>
      </c>
      <c r="AD49" s="25"/>
      <c r="AE49" s="25" t="s">
        <v>299</v>
      </c>
      <c r="AF49" s="25" t="s">
        <v>299</v>
      </c>
      <c r="AG49" s="25"/>
      <c r="AH49" s="25" t="s">
        <v>299</v>
      </c>
      <c r="AI49" s="25"/>
      <c r="AJ49" s="25"/>
      <c r="AK49" s="25" t="s">
        <v>299</v>
      </c>
      <c r="AL49" s="25" t="s">
        <v>299</v>
      </c>
      <c r="AM49" s="25" t="s">
        <v>299</v>
      </c>
      <c r="AN49" s="25" t="s">
        <v>299</v>
      </c>
      <c r="AO49" s="25" t="s">
        <v>299</v>
      </c>
      <c r="AP49" s="25"/>
      <c r="AQ49" s="25" t="s">
        <v>299</v>
      </c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 t="s">
        <v>299</v>
      </c>
      <c r="BC49" s="25"/>
      <c r="BD49" s="25"/>
      <c r="BE49" s="25" t="s">
        <v>299</v>
      </c>
      <c r="BF49" s="25" t="s">
        <v>299</v>
      </c>
      <c r="BG49" s="25" t="s">
        <v>299</v>
      </c>
      <c r="BH49" s="25"/>
      <c r="BI49" s="25"/>
      <c r="BJ49" s="25"/>
      <c r="BK49" s="25" t="s">
        <v>299</v>
      </c>
      <c r="BL49" s="25" t="s">
        <v>299</v>
      </c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 t="s">
        <v>299</v>
      </c>
      <c r="BX49" s="25" t="s">
        <v>299</v>
      </c>
      <c r="BY49" s="25"/>
      <c r="BZ49" s="25"/>
      <c r="CA49" s="25"/>
      <c r="CB49" s="25"/>
      <c r="CC49" s="25"/>
      <c r="CD49" s="25"/>
      <c r="CE49" s="25" t="s">
        <v>299</v>
      </c>
      <c r="CF49" s="25" t="s">
        <v>299</v>
      </c>
      <c r="CG49" s="25" t="s">
        <v>299</v>
      </c>
      <c r="CH49" s="25" t="s">
        <v>299</v>
      </c>
      <c r="CI49" s="25" t="s">
        <v>299</v>
      </c>
      <c r="CJ49" s="25" t="s">
        <v>299</v>
      </c>
      <c r="CK49" s="25"/>
      <c r="CL49" s="25" t="s">
        <v>299</v>
      </c>
      <c r="CM49" s="25" t="s">
        <v>299</v>
      </c>
      <c r="CN49" s="25" t="s">
        <v>299</v>
      </c>
      <c r="CO49" s="25" t="s">
        <v>299</v>
      </c>
      <c r="CP49" s="25" t="s">
        <v>299</v>
      </c>
      <c r="CQ49" s="25" t="s">
        <v>299</v>
      </c>
      <c r="CR49" s="25" t="s">
        <v>299</v>
      </c>
      <c r="CS49" s="25" t="s">
        <v>299</v>
      </c>
      <c r="CT49" s="25" t="s">
        <v>299</v>
      </c>
      <c r="CU49" s="25" t="s">
        <v>299</v>
      </c>
      <c r="CV49" s="25" t="s">
        <v>299</v>
      </c>
      <c r="CW49" s="25"/>
      <c r="CX49" s="25"/>
      <c r="CY49" s="22">
        <f t="shared" si="0"/>
        <v>50</v>
      </c>
    </row>
    <row r="50" spans="1:103" x14ac:dyDescent="0.2">
      <c r="A50" s="25" t="s">
        <v>391</v>
      </c>
      <c r="B50" s="26" t="s">
        <v>392</v>
      </c>
      <c r="C50" s="25" t="s">
        <v>299</v>
      </c>
      <c r="D50" s="25"/>
      <c r="E50" s="25"/>
      <c r="F50" s="25"/>
      <c r="G50" s="25"/>
      <c r="H50" s="25"/>
      <c r="I50" s="25" t="s">
        <v>299</v>
      </c>
      <c r="J50" s="25" t="s">
        <v>299</v>
      </c>
      <c r="K50" s="25"/>
      <c r="L50" s="25"/>
      <c r="M50" s="25" t="s">
        <v>299</v>
      </c>
      <c r="N50" s="25"/>
      <c r="O50" s="25"/>
      <c r="P50" s="25"/>
      <c r="Q50" s="25"/>
      <c r="R50" s="25"/>
      <c r="S50" s="25"/>
      <c r="T50" s="25"/>
      <c r="U50" s="25"/>
      <c r="V50" s="25" t="s">
        <v>299</v>
      </c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 t="s">
        <v>299</v>
      </c>
      <c r="AM50" s="25" t="s">
        <v>299</v>
      </c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 t="s">
        <v>299</v>
      </c>
      <c r="BF50" s="25"/>
      <c r="BG50" s="25" t="s">
        <v>299</v>
      </c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2">
        <f t="shared" si="0"/>
        <v>8</v>
      </c>
    </row>
    <row r="51" spans="1:103" x14ac:dyDescent="0.2">
      <c r="A51" s="25" t="s">
        <v>393</v>
      </c>
      <c r="B51" s="26" t="s">
        <v>394</v>
      </c>
      <c r="C51" s="25" t="s">
        <v>299</v>
      </c>
      <c r="D51" s="25"/>
      <c r="E51" s="25"/>
      <c r="F51" s="25"/>
      <c r="G51" s="25" t="s">
        <v>299</v>
      </c>
      <c r="H51" s="25"/>
      <c r="I51" s="25" t="s">
        <v>299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 t="s">
        <v>299</v>
      </c>
      <c r="W51" s="25" t="s">
        <v>299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 t="s">
        <v>299</v>
      </c>
      <c r="AH51" s="25"/>
      <c r="AI51" s="25"/>
      <c r="AJ51" s="25"/>
      <c r="AK51" s="25"/>
      <c r="AL51" s="25" t="s">
        <v>299</v>
      </c>
      <c r="AM51" s="25" t="s">
        <v>299</v>
      </c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 t="s">
        <v>299</v>
      </c>
      <c r="BF51" s="25" t="s">
        <v>299</v>
      </c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2">
        <f t="shared" si="0"/>
        <v>9</v>
      </c>
    </row>
    <row r="52" spans="1:103" x14ac:dyDescent="0.2">
      <c r="A52" s="25" t="s">
        <v>395</v>
      </c>
      <c r="B52" s="26" t="s">
        <v>303</v>
      </c>
      <c r="C52" s="25" t="s">
        <v>299</v>
      </c>
      <c r="D52" s="25"/>
      <c r="E52" s="25" t="s">
        <v>299</v>
      </c>
      <c r="F52" s="25" t="s">
        <v>299</v>
      </c>
      <c r="G52" s="25" t="s">
        <v>299</v>
      </c>
      <c r="H52" s="25"/>
      <c r="I52" s="25" t="s">
        <v>299</v>
      </c>
      <c r="J52" s="25" t="s">
        <v>299</v>
      </c>
      <c r="K52" s="25"/>
      <c r="L52" s="25" t="s">
        <v>299</v>
      </c>
      <c r="M52" s="25" t="s">
        <v>299</v>
      </c>
      <c r="N52" s="25" t="s">
        <v>299</v>
      </c>
      <c r="O52" s="25" t="s">
        <v>299</v>
      </c>
      <c r="P52" s="25" t="s">
        <v>299</v>
      </c>
      <c r="Q52" s="25" t="s">
        <v>299</v>
      </c>
      <c r="R52" s="25" t="s">
        <v>299</v>
      </c>
      <c r="S52" s="25"/>
      <c r="T52" s="25" t="s">
        <v>299</v>
      </c>
      <c r="U52" s="25" t="s">
        <v>299</v>
      </c>
      <c r="V52" s="25" t="s">
        <v>299</v>
      </c>
      <c r="W52" s="25" t="s">
        <v>299</v>
      </c>
      <c r="X52" s="25" t="s">
        <v>299</v>
      </c>
      <c r="Y52" s="25"/>
      <c r="Z52" s="25"/>
      <c r="AA52" s="25" t="s">
        <v>299</v>
      </c>
      <c r="AB52" s="25" t="s">
        <v>299</v>
      </c>
      <c r="AC52" s="25" t="s">
        <v>299</v>
      </c>
      <c r="AD52" s="25"/>
      <c r="AE52" s="25" t="s">
        <v>299</v>
      </c>
      <c r="AF52" s="25" t="s">
        <v>299</v>
      </c>
      <c r="AG52" s="25" t="s">
        <v>299</v>
      </c>
      <c r="AH52" s="25" t="s">
        <v>299</v>
      </c>
      <c r="AI52" s="25"/>
      <c r="AJ52" s="25"/>
      <c r="AK52" s="25"/>
      <c r="AL52" s="25" t="s">
        <v>299</v>
      </c>
      <c r="AM52" s="25" t="s">
        <v>299</v>
      </c>
      <c r="AN52" s="25"/>
      <c r="AO52" s="25"/>
      <c r="AP52" s="25"/>
      <c r="AQ52" s="25" t="s">
        <v>299</v>
      </c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 t="s">
        <v>299</v>
      </c>
      <c r="BF52" s="25" t="s">
        <v>299</v>
      </c>
      <c r="BG52" s="25" t="s">
        <v>299</v>
      </c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 t="s">
        <v>299</v>
      </c>
      <c r="BX52" s="25" t="s">
        <v>299</v>
      </c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2">
        <f t="shared" si="0"/>
        <v>32</v>
      </c>
    </row>
    <row r="53" spans="1:103" x14ac:dyDescent="0.2">
      <c r="A53" s="25" t="s">
        <v>396</v>
      </c>
      <c r="B53" s="26" t="s">
        <v>397</v>
      </c>
      <c r="C53" s="25" t="s">
        <v>299</v>
      </c>
      <c r="D53" s="25"/>
      <c r="E53" s="25"/>
      <c r="F53" s="25" t="s">
        <v>299</v>
      </c>
      <c r="G53" s="25"/>
      <c r="H53" s="25"/>
      <c r="I53" s="25" t="s">
        <v>299</v>
      </c>
      <c r="J53" s="25"/>
      <c r="K53" s="25"/>
      <c r="L53" s="25" t="s">
        <v>299</v>
      </c>
      <c r="M53" s="25" t="s">
        <v>299</v>
      </c>
      <c r="N53" s="25"/>
      <c r="O53" s="25"/>
      <c r="P53" s="25"/>
      <c r="Q53" s="25"/>
      <c r="R53" s="25"/>
      <c r="S53" s="25"/>
      <c r="T53" s="25" t="s">
        <v>299</v>
      </c>
      <c r="U53" s="25" t="s">
        <v>299</v>
      </c>
      <c r="V53" s="25" t="s">
        <v>299</v>
      </c>
      <c r="W53" s="25" t="s">
        <v>299</v>
      </c>
      <c r="X53" s="25"/>
      <c r="Y53" s="25"/>
      <c r="Z53" s="25"/>
      <c r="AA53" s="25"/>
      <c r="AB53" s="25"/>
      <c r="AC53" s="25" t="s">
        <v>299</v>
      </c>
      <c r="AD53" s="25"/>
      <c r="AE53" s="25" t="s">
        <v>299</v>
      </c>
      <c r="AF53" s="25"/>
      <c r="AG53" s="25" t="s">
        <v>299</v>
      </c>
      <c r="AH53" s="25" t="s">
        <v>299</v>
      </c>
      <c r="AI53" s="25"/>
      <c r="AJ53" s="25"/>
      <c r="AK53" s="25"/>
      <c r="AL53" s="25" t="s">
        <v>299</v>
      </c>
      <c r="AM53" s="25" t="s">
        <v>299</v>
      </c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 t="s">
        <v>299</v>
      </c>
      <c r="BF53" s="25" t="s">
        <v>299</v>
      </c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2">
        <f t="shared" si="0"/>
        <v>16</v>
      </c>
    </row>
    <row r="54" spans="1:103" x14ac:dyDescent="0.2">
      <c r="A54" s="25" t="s">
        <v>398</v>
      </c>
      <c r="B54" s="26" t="s">
        <v>399</v>
      </c>
      <c r="C54" s="25" t="s">
        <v>299</v>
      </c>
      <c r="D54" s="25"/>
      <c r="E54" s="25"/>
      <c r="F54" s="25" t="s">
        <v>299</v>
      </c>
      <c r="G54" s="25" t="s">
        <v>299</v>
      </c>
      <c r="H54" s="25"/>
      <c r="I54" s="25" t="s">
        <v>299</v>
      </c>
      <c r="J54" s="25" t="s">
        <v>299</v>
      </c>
      <c r="K54" s="25"/>
      <c r="L54" s="25"/>
      <c r="M54" s="25" t="s">
        <v>299</v>
      </c>
      <c r="N54" s="25" t="s">
        <v>299</v>
      </c>
      <c r="O54" s="25" t="s">
        <v>299</v>
      </c>
      <c r="P54" s="25" t="s">
        <v>299</v>
      </c>
      <c r="Q54" s="25"/>
      <c r="R54" s="25" t="s">
        <v>299</v>
      </c>
      <c r="S54" s="25"/>
      <c r="T54" s="25" t="s">
        <v>299</v>
      </c>
      <c r="U54" s="25" t="s">
        <v>299</v>
      </c>
      <c r="V54" s="25" t="s">
        <v>299</v>
      </c>
      <c r="W54" s="25" t="s">
        <v>299</v>
      </c>
      <c r="X54" s="25" t="s">
        <v>299</v>
      </c>
      <c r="Y54" s="25" t="s">
        <v>299</v>
      </c>
      <c r="Z54" s="25" t="s">
        <v>299</v>
      </c>
      <c r="AA54" s="25" t="s">
        <v>299</v>
      </c>
      <c r="AB54" s="25" t="s">
        <v>299</v>
      </c>
      <c r="AC54" s="25" t="s">
        <v>299</v>
      </c>
      <c r="AD54" s="25"/>
      <c r="AE54" s="25" t="s">
        <v>299</v>
      </c>
      <c r="AF54" s="25" t="s">
        <v>299</v>
      </c>
      <c r="AG54" s="25" t="s">
        <v>299</v>
      </c>
      <c r="AH54" s="25" t="s">
        <v>299</v>
      </c>
      <c r="AI54" s="25"/>
      <c r="AJ54" s="25"/>
      <c r="AK54" s="25" t="s">
        <v>299</v>
      </c>
      <c r="AL54" s="25" t="s">
        <v>299</v>
      </c>
      <c r="AM54" s="25" t="s">
        <v>299</v>
      </c>
      <c r="AN54" s="25"/>
      <c r="AO54" s="25" t="s">
        <v>299</v>
      </c>
      <c r="AP54" s="25"/>
      <c r="AQ54" s="25" t="s">
        <v>299</v>
      </c>
      <c r="AR54" s="25" t="s">
        <v>299</v>
      </c>
      <c r="AS54" s="25" t="s">
        <v>299</v>
      </c>
      <c r="AT54" s="25" t="s">
        <v>299</v>
      </c>
      <c r="AU54" s="25" t="s">
        <v>299</v>
      </c>
      <c r="AV54" s="25" t="s">
        <v>299</v>
      </c>
      <c r="AW54" s="25"/>
      <c r="AX54" s="25" t="s">
        <v>299</v>
      </c>
      <c r="AY54" s="25" t="s">
        <v>299</v>
      </c>
      <c r="AZ54" s="25"/>
      <c r="BA54" s="25" t="s">
        <v>299</v>
      </c>
      <c r="BB54" s="25" t="s">
        <v>299</v>
      </c>
      <c r="BC54" s="25" t="s">
        <v>299</v>
      </c>
      <c r="BD54" s="25"/>
      <c r="BE54" s="25" t="s">
        <v>299</v>
      </c>
      <c r="BF54" s="25" t="s">
        <v>299</v>
      </c>
      <c r="BG54" s="25" t="s">
        <v>299</v>
      </c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 t="s">
        <v>299</v>
      </c>
      <c r="BW54" s="25" t="s">
        <v>299</v>
      </c>
      <c r="BX54" s="25" t="s">
        <v>299</v>
      </c>
      <c r="BY54" s="25" t="s">
        <v>299</v>
      </c>
      <c r="BZ54" s="25" t="s">
        <v>299</v>
      </c>
      <c r="CA54" s="25"/>
      <c r="CB54" s="25"/>
      <c r="CC54" s="25"/>
      <c r="CD54" s="25" t="s">
        <v>299</v>
      </c>
      <c r="CE54" s="25"/>
      <c r="CF54" s="25"/>
      <c r="CG54" s="25"/>
      <c r="CH54" s="25"/>
      <c r="CI54" s="25"/>
      <c r="CJ54" s="25" t="s">
        <v>299</v>
      </c>
      <c r="CK54" s="25"/>
      <c r="CL54" s="25"/>
      <c r="CM54" s="25"/>
      <c r="CN54" s="25"/>
      <c r="CO54" s="25"/>
      <c r="CP54" s="25"/>
      <c r="CQ54" s="25"/>
      <c r="CR54" s="25" t="s">
        <v>299</v>
      </c>
      <c r="CS54" s="25" t="s">
        <v>299</v>
      </c>
      <c r="CT54" s="25" t="s">
        <v>299</v>
      </c>
      <c r="CU54" s="25" t="s">
        <v>299</v>
      </c>
      <c r="CV54" s="25" t="s">
        <v>299</v>
      </c>
      <c r="CW54" s="25"/>
      <c r="CX54" s="25"/>
      <c r="CY54" s="22">
        <f t="shared" si="0"/>
        <v>53</v>
      </c>
    </row>
    <row r="55" spans="1:103" x14ac:dyDescent="0.2">
      <c r="A55" s="25" t="s">
        <v>400</v>
      </c>
      <c r="B55" s="26" t="s">
        <v>401</v>
      </c>
      <c r="C55" s="25" t="s">
        <v>299</v>
      </c>
      <c r="D55" s="25"/>
      <c r="E55" s="25"/>
      <c r="F55" s="25" t="s">
        <v>299</v>
      </c>
      <c r="G55" s="25" t="s">
        <v>299</v>
      </c>
      <c r="H55" s="25"/>
      <c r="I55" s="25" t="s">
        <v>299</v>
      </c>
      <c r="J55" s="25" t="s">
        <v>299</v>
      </c>
      <c r="K55" s="25"/>
      <c r="L55" s="25" t="s">
        <v>299</v>
      </c>
      <c r="M55" s="25" t="s">
        <v>299</v>
      </c>
      <c r="N55" s="25" t="s">
        <v>299</v>
      </c>
      <c r="O55" s="25" t="s">
        <v>299</v>
      </c>
      <c r="P55" s="25" t="s">
        <v>299</v>
      </c>
      <c r="Q55" s="25" t="s">
        <v>299</v>
      </c>
      <c r="R55" s="25" t="s">
        <v>299</v>
      </c>
      <c r="S55" s="25"/>
      <c r="T55" s="25" t="s">
        <v>299</v>
      </c>
      <c r="U55" s="25" t="s">
        <v>299</v>
      </c>
      <c r="V55" s="25" t="s">
        <v>299</v>
      </c>
      <c r="W55" s="25" t="s">
        <v>299</v>
      </c>
      <c r="X55" s="25"/>
      <c r="Y55" s="25"/>
      <c r="Z55" s="25"/>
      <c r="AA55" s="25"/>
      <c r="AB55" s="25" t="s">
        <v>299</v>
      </c>
      <c r="AC55" s="25" t="s">
        <v>299</v>
      </c>
      <c r="AD55" s="25"/>
      <c r="AE55" s="25" t="s">
        <v>299</v>
      </c>
      <c r="AF55" s="25" t="s">
        <v>299</v>
      </c>
      <c r="AG55" s="25" t="s">
        <v>299</v>
      </c>
      <c r="AH55" s="25" t="s">
        <v>299</v>
      </c>
      <c r="AI55" s="25"/>
      <c r="AJ55" s="25"/>
      <c r="AK55" s="25" t="s">
        <v>299</v>
      </c>
      <c r="AL55" s="25" t="s">
        <v>299</v>
      </c>
      <c r="AM55" s="25" t="s">
        <v>299</v>
      </c>
      <c r="AN55" s="25"/>
      <c r="AO55" s="25"/>
      <c r="AP55" s="25"/>
      <c r="AQ55" s="25" t="s">
        <v>299</v>
      </c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 t="s">
        <v>299</v>
      </c>
      <c r="BF55" s="25" t="s">
        <v>299</v>
      </c>
      <c r="BG55" s="25" t="s">
        <v>299</v>
      </c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2">
        <f t="shared" si="0"/>
        <v>28</v>
      </c>
    </row>
    <row r="56" spans="1:103" x14ac:dyDescent="0.2">
      <c r="A56" s="25" t="s">
        <v>402</v>
      </c>
      <c r="B56" s="26" t="s">
        <v>403</v>
      </c>
      <c r="C56" s="25" t="s">
        <v>299</v>
      </c>
      <c r="D56" s="25"/>
      <c r="E56" s="25"/>
      <c r="F56" s="25"/>
      <c r="G56" s="25" t="s">
        <v>299</v>
      </c>
      <c r="H56" s="25"/>
      <c r="I56" s="25" t="s">
        <v>299</v>
      </c>
      <c r="J56" s="25"/>
      <c r="K56" s="25"/>
      <c r="L56" s="25" t="s">
        <v>299</v>
      </c>
      <c r="M56" s="25"/>
      <c r="N56" s="25"/>
      <c r="O56" s="25"/>
      <c r="P56" s="25"/>
      <c r="Q56" s="25" t="s">
        <v>299</v>
      </c>
      <c r="R56" s="25" t="s">
        <v>299</v>
      </c>
      <c r="S56" s="25"/>
      <c r="T56" s="25" t="s">
        <v>299</v>
      </c>
      <c r="U56" s="25" t="s">
        <v>299</v>
      </c>
      <c r="V56" s="25" t="s">
        <v>299</v>
      </c>
      <c r="W56" s="25" t="s">
        <v>299</v>
      </c>
      <c r="X56" s="25"/>
      <c r="Y56" s="25"/>
      <c r="Z56" s="25"/>
      <c r="AA56" s="25"/>
      <c r="AB56" s="25" t="s">
        <v>299</v>
      </c>
      <c r="AC56" s="25" t="s">
        <v>299</v>
      </c>
      <c r="AD56" s="25"/>
      <c r="AE56" s="25" t="s">
        <v>299</v>
      </c>
      <c r="AF56" s="25" t="s">
        <v>299</v>
      </c>
      <c r="AG56" s="25" t="s">
        <v>299</v>
      </c>
      <c r="AH56" s="25" t="s">
        <v>299</v>
      </c>
      <c r="AI56" s="25"/>
      <c r="AJ56" s="25"/>
      <c r="AK56" s="25"/>
      <c r="AL56" s="25" t="s">
        <v>299</v>
      </c>
      <c r="AM56" s="25" t="s">
        <v>299</v>
      </c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 t="s">
        <v>299</v>
      </c>
      <c r="BF56" s="25" t="s">
        <v>299</v>
      </c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2">
        <f t="shared" si="0"/>
        <v>19</v>
      </c>
    </row>
    <row r="57" spans="1:103" x14ac:dyDescent="0.2">
      <c r="A57" s="25" t="s">
        <v>404</v>
      </c>
      <c r="B57" s="26" t="s">
        <v>405</v>
      </c>
      <c r="C57" s="25" t="s">
        <v>299</v>
      </c>
      <c r="D57" s="25"/>
      <c r="E57" s="25" t="s">
        <v>299</v>
      </c>
      <c r="F57" s="25" t="s">
        <v>299</v>
      </c>
      <c r="G57" s="25"/>
      <c r="H57" s="25" t="s">
        <v>299</v>
      </c>
      <c r="I57" s="25" t="s">
        <v>299</v>
      </c>
      <c r="J57" s="25" t="s">
        <v>299</v>
      </c>
      <c r="K57" s="25"/>
      <c r="L57" s="25"/>
      <c r="M57" s="25"/>
      <c r="N57" s="25" t="s">
        <v>299</v>
      </c>
      <c r="O57" s="25" t="s">
        <v>299</v>
      </c>
      <c r="P57" s="25" t="s">
        <v>299</v>
      </c>
      <c r="Q57" s="25" t="s">
        <v>299</v>
      </c>
      <c r="R57" s="25" t="s">
        <v>299</v>
      </c>
      <c r="S57" s="25"/>
      <c r="T57" s="25" t="s">
        <v>299</v>
      </c>
      <c r="U57" s="25" t="s">
        <v>299</v>
      </c>
      <c r="V57" s="25" t="s">
        <v>299</v>
      </c>
      <c r="W57" s="25" t="s">
        <v>299</v>
      </c>
      <c r="X57" s="25" t="s">
        <v>299</v>
      </c>
      <c r="Y57" s="25"/>
      <c r="Z57" s="25"/>
      <c r="AA57" s="25" t="s">
        <v>299</v>
      </c>
      <c r="AB57" s="25" t="s">
        <v>299</v>
      </c>
      <c r="AC57" s="25" t="s">
        <v>299</v>
      </c>
      <c r="AD57" s="25"/>
      <c r="AE57" s="25" t="s">
        <v>299</v>
      </c>
      <c r="AF57" s="25" t="s">
        <v>299</v>
      </c>
      <c r="AG57" s="25" t="s">
        <v>299</v>
      </c>
      <c r="AH57" s="25" t="s">
        <v>299</v>
      </c>
      <c r="AI57" s="25" t="s">
        <v>299</v>
      </c>
      <c r="AJ57" s="25" t="s">
        <v>299</v>
      </c>
      <c r="AK57" s="25" t="s">
        <v>299</v>
      </c>
      <c r="AL57" s="25" t="s">
        <v>299</v>
      </c>
      <c r="AM57" s="25" t="s">
        <v>299</v>
      </c>
      <c r="AN57" s="25" t="s">
        <v>299</v>
      </c>
      <c r="AO57" s="25" t="s">
        <v>299</v>
      </c>
      <c r="AP57" s="25"/>
      <c r="AQ57" s="25" t="s">
        <v>299</v>
      </c>
      <c r="AR57" s="25" t="s">
        <v>299</v>
      </c>
      <c r="AS57" s="25" t="s">
        <v>299</v>
      </c>
      <c r="AT57" s="25" t="s">
        <v>299</v>
      </c>
      <c r="AU57" s="25" t="s">
        <v>299</v>
      </c>
      <c r="AV57" s="25" t="s">
        <v>299</v>
      </c>
      <c r="AW57" s="25"/>
      <c r="AX57" s="25" t="s">
        <v>299</v>
      </c>
      <c r="AY57" s="25" t="s">
        <v>299</v>
      </c>
      <c r="AZ57" s="25"/>
      <c r="BA57" s="25" t="s">
        <v>299</v>
      </c>
      <c r="BB57" s="25" t="s">
        <v>299</v>
      </c>
      <c r="BC57" s="25" t="s">
        <v>299</v>
      </c>
      <c r="BD57" s="25"/>
      <c r="BE57" s="25" t="s">
        <v>299</v>
      </c>
      <c r="BF57" s="25" t="s">
        <v>299</v>
      </c>
      <c r="BG57" s="25" t="s">
        <v>299</v>
      </c>
      <c r="BH57" s="25"/>
      <c r="BI57" s="25"/>
      <c r="BJ57" s="25"/>
      <c r="BK57" s="25" t="s">
        <v>299</v>
      </c>
      <c r="BL57" s="25" t="s">
        <v>299</v>
      </c>
      <c r="BM57" s="25"/>
      <c r="BN57" s="25" t="s">
        <v>299</v>
      </c>
      <c r="BO57" s="25" t="s">
        <v>299</v>
      </c>
      <c r="BP57" s="25" t="s">
        <v>299</v>
      </c>
      <c r="BQ57" s="25" t="s">
        <v>299</v>
      </c>
      <c r="BR57" s="25" t="s">
        <v>299</v>
      </c>
      <c r="BS57" s="25" t="s">
        <v>299</v>
      </c>
      <c r="BT57" s="25" t="s">
        <v>299</v>
      </c>
      <c r="BU57" s="25" t="s">
        <v>299</v>
      </c>
      <c r="BV57" s="25" t="s">
        <v>299</v>
      </c>
      <c r="BW57" s="25" t="s">
        <v>299</v>
      </c>
      <c r="BX57" s="25" t="s">
        <v>299</v>
      </c>
      <c r="BY57" s="25" t="s">
        <v>299</v>
      </c>
      <c r="BZ57" s="25" t="s">
        <v>299</v>
      </c>
      <c r="CA57" s="25" t="s">
        <v>299</v>
      </c>
      <c r="CB57" s="25" t="s">
        <v>299</v>
      </c>
      <c r="CC57" s="25" t="s">
        <v>299</v>
      </c>
      <c r="CD57" s="25" t="s">
        <v>299</v>
      </c>
      <c r="CE57" s="25" t="s">
        <v>299</v>
      </c>
      <c r="CF57" s="25" t="s">
        <v>299</v>
      </c>
      <c r="CG57" s="25" t="s">
        <v>299</v>
      </c>
      <c r="CH57" s="25" t="s">
        <v>299</v>
      </c>
      <c r="CI57" s="25" t="s">
        <v>299</v>
      </c>
      <c r="CJ57" s="25" t="s">
        <v>299</v>
      </c>
      <c r="CK57" s="25"/>
      <c r="CL57" s="25" t="s">
        <v>299</v>
      </c>
      <c r="CM57" s="25" t="s">
        <v>299</v>
      </c>
      <c r="CN57" s="25" t="s">
        <v>299</v>
      </c>
      <c r="CO57" s="25" t="s">
        <v>299</v>
      </c>
      <c r="CP57" s="25" t="s">
        <v>299</v>
      </c>
      <c r="CQ57" s="25" t="s">
        <v>299</v>
      </c>
      <c r="CR57" s="25" t="s">
        <v>299</v>
      </c>
      <c r="CS57" s="25" t="s">
        <v>299</v>
      </c>
      <c r="CT57" s="25" t="s">
        <v>299</v>
      </c>
      <c r="CU57" s="25" t="s">
        <v>299</v>
      </c>
      <c r="CV57" s="25" t="s">
        <v>299</v>
      </c>
      <c r="CW57" s="25"/>
      <c r="CX57" s="25"/>
      <c r="CY57" s="22">
        <f t="shared" si="0"/>
        <v>79</v>
      </c>
    </row>
    <row r="58" spans="1:103" x14ac:dyDescent="0.2">
      <c r="A58" s="25" t="s">
        <v>406</v>
      </c>
      <c r="B58" s="26" t="s">
        <v>298</v>
      </c>
      <c r="C58" s="25" t="s">
        <v>299</v>
      </c>
      <c r="D58" s="25"/>
      <c r="E58" s="25" t="s">
        <v>299</v>
      </c>
      <c r="F58" s="25" t="s">
        <v>299</v>
      </c>
      <c r="G58" s="25" t="s">
        <v>299</v>
      </c>
      <c r="H58" s="25"/>
      <c r="I58" s="25" t="s">
        <v>299</v>
      </c>
      <c r="J58" s="25"/>
      <c r="K58" s="25"/>
      <c r="L58" s="25" t="s">
        <v>299</v>
      </c>
      <c r="M58" s="25"/>
      <c r="N58" s="25"/>
      <c r="O58" s="25"/>
      <c r="P58" s="25" t="s">
        <v>299</v>
      </c>
      <c r="Q58" s="25" t="s">
        <v>299</v>
      </c>
      <c r="R58" s="25"/>
      <c r="S58" s="25"/>
      <c r="T58" s="25" t="s">
        <v>299</v>
      </c>
      <c r="U58" s="25"/>
      <c r="V58" s="25" t="s">
        <v>299</v>
      </c>
      <c r="W58" s="25" t="s">
        <v>299</v>
      </c>
      <c r="X58" s="25"/>
      <c r="Y58" s="25"/>
      <c r="Z58" s="25"/>
      <c r="AA58" s="25"/>
      <c r="AB58" s="25"/>
      <c r="AC58" s="25" t="s">
        <v>299</v>
      </c>
      <c r="AD58" s="25"/>
      <c r="AE58" s="25" t="s">
        <v>299</v>
      </c>
      <c r="AF58" s="25" t="s">
        <v>299</v>
      </c>
      <c r="AG58" s="25" t="s">
        <v>299</v>
      </c>
      <c r="AH58" s="25" t="s">
        <v>299</v>
      </c>
      <c r="AI58" s="25"/>
      <c r="AJ58" s="25"/>
      <c r="AK58" s="25"/>
      <c r="AL58" s="25" t="s">
        <v>299</v>
      </c>
      <c r="AM58" s="25" t="s">
        <v>299</v>
      </c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 t="s">
        <v>299</v>
      </c>
      <c r="BF58" s="25" t="s">
        <v>299</v>
      </c>
      <c r="BG58" s="25" t="s">
        <v>299</v>
      </c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2">
        <f t="shared" si="0"/>
        <v>20</v>
      </c>
    </row>
    <row r="59" spans="1:103" x14ac:dyDescent="0.2">
      <c r="A59" s="25" t="s">
        <v>407</v>
      </c>
      <c r="B59" s="26" t="s">
        <v>408</v>
      </c>
      <c r="C59" s="25" t="s">
        <v>299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 t="s">
        <v>299</v>
      </c>
      <c r="AH59" s="25" t="s">
        <v>299</v>
      </c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 t="s">
        <v>299</v>
      </c>
      <c r="BF59" s="25" t="s">
        <v>299</v>
      </c>
      <c r="BG59" s="25" t="s">
        <v>299</v>
      </c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2">
        <f t="shared" si="0"/>
        <v>5</v>
      </c>
    </row>
    <row r="60" spans="1:103" x14ac:dyDescent="0.2">
      <c r="A60" s="25" t="s">
        <v>409</v>
      </c>
      <c r="B60" s="26" t="s">
        <v>410</v>
      </c>
      <c r="C60" s="25" t="s">
        <v>299</v>
      </c>
      <c r="D60" s="25"/>
      <c r="E60" s="25"/>
      <c r="F60" s="25" t="s">
        <v>299</v>
      </c>
      <c r="G60" s="25"/>
      <c r="H60" s="25"/>
      <c r="I60" s="25" t="s">
        <v>299</v>
      </c>
      <c r="J60" s="25"/>
      <c r="K60" s="25"/>
      <c r="L60" s="25" t="s">
        <v>299</v>
      </c>
      <c r="M60" s="25" t="s">
        <v>299</v>
      </c>
      <c r="N60" s="25"/>
      <c r="O60" s="25"/>
      <c r="P60" s="25"/>
      <c r="Q60" s="25"/>
      <c r="R60" s="25"/>
      <c r="S60" s="25"/>
      <c r="T60" s="25" t="s">
        <v>299</v>
      </c>
      <c r="U60" s="25"/>
      <c r="V60" s="25" t="s">
        <v>299</v>
      </c>
      <c r="W60" s="25"/>
      <c r="X60" s="25"/>
      <c r="Y60" s="25"/>
      <c r="Z60" s="25"/>
      <c r="AA60" s="25"/>
      <c r="AB60" s="25"/>
      <c r="AC60" s="25" t="s">
        <v>299</v>
      </c>
      <c r="AD60" s="25"/>
      <c r="AE60" s="25" t="s">
        <v>299</v>
      </c>
      <c r="AF60" s="25"/>
      <c r="AG60" s="25" t="s">
        <v>299</v>
      </c>
      <c r="AH60" s="25" t="s">
        <v>299</v>
      </c>
      <c r="AI60" s="25"/>
      <c r="AJ60" s="25"/>
      <c r="AK60" s="25"/>
      <c r="AL60" s="25" t="s">
        <v>299</v>
      </c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 t="s">
        <v>299</v>
      </c>
      <c r="BF60" s="25" t="s">
        <v>299</v>
      </c>
      <c r="BG60" s="25" t="s">
        <v>299</v>
      </c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2">
        <f t="shared" si="0"/>
        <v>14</v>
      </c>
    </row>
    <row r="61" spans="1:103" x14ac:dyDescent="0.2">
      <c r="A61" s="25" t="s">
        <v>411</v>
      </c>
      <c r="B61" s="26" t="s">
        <v>412</v>
      </c>
      <c r="C61" s="25" t="s">
        <v>299</v>
      </c>
      <c r="D61" s="25"/>
      <c r="E61" s="25"/>
      <c r="F61" s="25"/>
      <c r="G61" s="25" t="s">
        <v>299</v>
      </c>
      <c r="H61" s="25"/>
      <c r="I61" s="25" t="s">
        <v>299</v>
      </c>
      <c r="J61" s="25"/>
      <c r="K61" s="25"/>
      <c r="L61" s="25"/>
      <c r="M61" s="25"/>
      <c r="N61" s="25"/>
      <c r="O61" s="25"/>
      <c r="P61" s="25"/>
      <c r="Q61" s="25"/>
      <c r="R61" s="25" t="s">
        <v>299</v>
      </c>
      <c r="S61" s="25"/>
      <c r="T61" s="25" t="s">
        <v>299</v>
      </c>
      <c r="U61" s="25" t="s">
        <v>299</v>
      </c>
      <c r="V61" s="25" t="s">
        <v>299</v>
      </c>
      <c r="W61" s="25" t="s">
        <v>299</v>
      </c>
      <c r="X61" s="25"/>
      <c r="Y61" s="25"/>
      <c r="Z61" s="25"/>
      <c r="AA61" s="25"/>
      <c r="AB61" s="25"/>
      <c r="AC61" s="25" t="s">
        <v>299</v>
      </c>
      <c r="AD61" s="25"/>
      <c r="AE61" s="25" t="s">
        <v>299</v>
      </c>
      <c r="AF61" s="25" t="s">
        <v>299</v>
      </c>
      <c r="AG61" s="25" t="s">
        <v>299</v>
      </c>
      <c r="AH61" s="25" t="s">
        <v>299</v>
      </c>
      <c r="AI61" s="25"/>
      <c r="AJ61" s="25"/>
      <c r="AK61" s="25"/>
      <c r="AL61" s="25" t="s">
        <v>299</v>
      </c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 t="s">
        <v>299</v>
      </c>
      <c r="BF61" s="25"/>
      <c r="BG61" s="25" t="s">
        <v>299</v>
      </c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2">
        <f t="shared" si="0"/>
        <v>15</v>
      </c>
    </row>
    <row r="62" spans="1:103" x14ac:dyDescent="0.2">
      <c r="A62" s="25" t="s">
        <v>413</v>
      </c>
      <c r="B62" s="26" t="s">
        <v>414</v>
      </c>
      <c r="C62" s="25" t="s">
        <v>299</v>
      </c>
      <c r="D62" s="25"/>
      <c r="E62" s="25"/>
      <c r="F62" s="25" t="s">
        <v>299</v>
      </c>
      <c r="G62" s="25"/>
      <c r="H62" s="25"/>
      <c r="I62" s="25" t="s">
        <v>299</v>
      </c>
      <c r="J62" s="25" t="s">
        <v>299</v>
      </c>
      <c r="K62" s="25"/>
      <c r="L62" s="25"/>
      <c r="M62" s="25" t="s">
        <v>299</v>
      </c>
      <c r="N62" s="25"/>
      <c r="O62" s="25"/>
      <c r="P62" s="25" t="s">
        <v>299</v>
      </c>
      <c r="Q62" s="25"/>
      <c r="R62" s="25"/>
      <c r="S62" s="25"/>
      <c r="T62" s="25" t="s">
        <v>299</v>
      </c>
      <c r="U62" s="25" t="s">
        <v>299</v>
      </c>
      <c r="V62" s="25" t="s">
        <v>299</v>
      </c>
      <c r="W62" s="25" t="s">
        <v>299</v>
      </c>
      <c r="X62" s="25"/>
      <c r="Y62" s="25"/>
      <c r="Z62" s="25"/>
      <c r="AA62" s="25"/>
      <c r="AB62" s="25"/>
      <c r="AC62" s="25" t="s">
        <v>299</v>
      </c>
      <c r="AD62" s="25"/>
      <c r="AE62" s="25" t="s">
        <v>299</v>
      </c>
      <c r="AF62" s="25"/>
      <c r="AG62" s="25"/>
      <c r="AH62" s="25" t="s">
        <v>299</v>
      </c>
      <c r="AI62" s="25"/>
      <c r="AJ62" s="25"/>
      <c r="AK62" s="25"/>
      <c r="AL62" s="25" t="s">
        <v>299</v>
      </c>
      <c r="AM62" s="25" t="s">
        <v>299</v>
      </c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 t="s">
        <v>299</v>
      </c>
      <c r="BF62" s="25" t="s">
        <v>299</v>
      </c>
      <c r="BG62" s="25" t="s">
        <v>299</v>
      </c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2">
        <f t="shared" si="0"/>
        <v>17</v>
      </c>
    </row>
    <row r="63" spans="1:103" x14ac:dyDescent="0.2">
      <c r="A63" s="25" t="s">
        <v>415</v>
      </c>
      <c r="B63" s="26" t="s">
        <v>59</v>
      </c>
      <c r="C63" s="25" t="s">
        <v>299</v>
      </c>
      <c r="D63" s="25"/>
      <c r="E63" s="25" t="s">
        <v>299</v>
      </c>
      <c r="F63" s="25"/>
      <c r="G63" s="25" t="s">
        <v>299</v>
      </c>
      <c r="H63" s="25"/>
      <c r="I63" s="25" t="s">
        <v>299</v>
      </c>
      <c r="J63" s="25"/>
      <c r="K63" s="25"/>
      <c r="L63" s="25" t="s">
        <v>299</v>
      </c>
      <c r="M63" s="25"/>
      <c r="N63" s="25" t="s">
        <v>299</v>
      </c>
      <c r="O63" s="25" t="s">
        <v>299</v>
      </c>
      <c r="P63" s="25" t="s">
        <v>299</v>
      </c>
      <c r="Q63" s="25" t="s">
        <v>299</v>
      </c>
      <c r="R63" s="25" t="s">
        <v>299</v>
      </c>
      <c r="S63" s="25"/>
      <c r="T63" s="25" t="s">
        <v>299</v>
      </c>
      <c r="U63" s="25"/>
      <c r="V63" s="25" t="s">
        <v>299</v>
      </c>
      <c r="W63" s="25" t="s">
        <v>299</v>
      </c>
      <c r="X63" s="25"/>
      <c r="Y63" s="25"/>
      <c r="Z63" s="25"/>
      <c r="AA63" s="25"/>
      <c r="AB63" s="25" t="s">
        <v>299</v>
      </c>
      <c r="AC63" s="25" t="s">
        <v>299</v>
      </c>
      <c r="AD63" s="25"/>
      <c r="AE63" s="25" t="s">
        <v>299</v>
      </c>
      <c r="AF63" s="25" t="s">
        <v>299</v>
      </c>
      <c r="AG63" s="25" t="s">
        <v>299</v>
      </c>
      <c r="AH63" s="25" t="s">
        <v>299</v>
      </c>
      <c r="AI63" s="25"/>
      <c r="AJ63" s="25"/>
      <c r="AK63" s="25" t="s">
        <v>299</v>
      </c>
      <c r="AL63" s="25" t="s">
        <v>299</v>
      </c>
      <c r="AM63" s="25" t="s">
        <v>299</v>
      </c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 t="s">
        <v>299</v>
      </c>
      <c r="BF63" s="25" t="s">
        <v>299</v>
      </c>
      <c r="BG63" s="25" t="s">
        <v>299</v>
      </c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2">
        <f t="shared" si="0"/>
        <v>24</v>
      </c>
    </row>
    <row r="64" spans="1:103" x14ac:dyDescent="0.2">
      <c r="A64" s="25" t="s">
        <v>416</v>
      </c>
      <c r="B64" s="26" t="s">
        <v>417</v>
      </c>
      <c r="C64" s="25" t="s">
        <v>299</v>
      </c>
      <c r="D64" s="25"/>
      <c r="E64" s="25" t="s">
        <v>299</v>
      </c>
      <c r="F64" s="25"/>
      <c r="G64" s="25" t="s">
        <v>299</v>
      </c>
      <c r="H64" s="25"/>
      <c r="I64" s="25" t="s">
        <v>299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 t="s">
        <v>299</v>
      </c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2">
        <f t="shared" si="0"/>
        <v>4</v>
      </c>
    </row>
    <row r="65" spans="1:103" x14ac:dyDescent="0.2">
      <c r="A65" s="25" t="s">
        <v>418</v>
      </c>
      <c r="B65" s="26" t="s">
        <v>419</v>
      </c>
      <c r="C65" s="25" t="s">
        <v>299</v>
      </c>
      <c r="D65" s="25"/>
      <c r="E65" s="25"/>
      <c r="F65" s="25"/>
      <c r="G65" s="25"/>
      <c r="H65" s="25"/>
      <c r="I65" s="25"/>
      <c r="J65" s="25"/>
      <c r="K65" s="25"/>
      <c r="L65" s="25" t="s">
        <v>299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2">
        <f t="shared" si="0"/>
        <v>1</v>
      </c>
    </row>
    <row r="66" spans="1:103" x14ac:dyDescent="0.2">
      <c r="A66" s="25" t="s">
        <v>420</v>
      </c>
      <c r="B66" s="26" t="s">
        <v>421</v>
      </c>
      <c r="C66" s="25" t="s">
        <v>299</v>
      </c>
      <c r="D66" s="25" t="s">
        <v>299</v>
      </c>
      <c r="E66" s="25" t="s">
        <v>299</v>
      </c>
      <c r="F66" s="25" t="s">
        <v>299</v>
      </c>
      <c r="G66" s="25" t="s">
        <v>299</v>
      </c>
      <c r="H66" s="25" t="s">
        <v>299</v>
      </c>
      <c r="I66" s="25" t="s">
        <v>299</v>
      </c>
      <c r="J66" s="25" t="s">
        <v>299</v>
      </c>
      <c r="K66" s="25" t="s">
        <v>299</v>
      </c>
      <c r="L66" s="25" t="s">
        <v>299</v>
      </c>
      <c r="M66" s="25" t="s">
        <v>299</v>
      </c>
      <c r="N66" s="25" t="s">
        <v>299</v>
      </c>
      <c r="O66" s="25" t="s">
        <v>299</v>
      </c>
      <c r="P66" s="25" t="s">
        <v>299</v>
      </c>
      <c r="Q66" s="25"/>
      <c r="R66" s="25"/>
      <c r="S66" s="25"/>
      <c r="T66" s="25" t="s">
        <v>299</v>
      </c>
      <c r="U66" s="25" t="s">
        <v>299</v>
      </c>
      <c r="V66" s="25" t="s">
        <v>299</v>
      </c>
      <c r="W66" s="25" t="s">
        <v>299</v>
      </c>
      <c r="X66" s="25" t="s">
        <v>299</v>
      </c>
      <c r="Y66" s="25" t="s">
        <v>299</v>
      </c>
      <c r="Z66" s="25" t="s">
        <v>299</v>
      </c>
      <c r="AA66" s="25" t="s">
        <v>299</v>
      </c>
      <c r="AB66" s="25" t="s">
        <v>299</v>
      </c>
      <c r="AC66" s="25" t="s">
        <v>299</v>
      </c>
      <c r="AD66" s="25" t="s">
        <v>299</v>
      </c>
      <c r="AE66" s="25" t="s">
        <v>299</v>
      </c>
      <c r="AF66" s="25" t="s">
        <v>299</v>
      </c>
      <c r="AG66" s="25" t="s">
        <v>299</v>
      </c>
      <c r="AH66" s="25" t="s">
        <v>299</v>
      </c>
      <c r="AI66" s="25"/>
      <c r="AJ66" s="25"/>
      <c r="AK66" s="25"/>
      <c r="AL66" s="25" t="s">
        <v>299</v>
      </c>
      <c r="AM66" s="25"/>
      <c r="AN66" s="25"/>
      <c r="AO66" s="25"/>
      <c r="AP66" s="25"/>
      <c r="AQ66" s="25" t="s">
        <v>299</v>
      </c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 t="s">
        <v>299</v>
      </c>
      <c r="BF66" s="25"/>
      <c r="BG66" s="25" t="s">
        <v>299</v>
      </c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2">
        <f t="shared" si="0"/>
        <v>32</v>
      </c>
    </row>
    <row r="67" spans="1:103" x14ac:dyDescent="0.2">
      <c r="A67" s="25" t="s">
        <v>422</v>
      </c>
      <c r="B67" s="26" t="s">
        <v>423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2">
        <f t="shared" si="0"/>
        <v>0</v>
      </c>
    </row>
    <row r="68" spans="1:103" x14ac:dyDescent="0.2">
      <c r="A68" s="25" t="s">
        <v>424</v>
      </c>
      <c r="B68" s="26" t="s">
        <v>425</v>
      </c>
      <c r="C68" s="25" t="s">
        <v>299</v>
      </c>
      <c r="D68" s="25"/>
      <c r="E68" s="25"/>
      <c r="F68" s="25"/>
      <c r="G68" s="25"/>
      <c r="H68" s="25"/>
      <c r="I68" s="25" t="s">
        <v>299</v>
      </c>
      <c r="J68" s="25"/>
      <c r="K68" s="25"/>
      <c r="L68" s="25" t="s">
        <v>299</v>
      </c>
      <c r="M68" s="25" t="s">
        <v>299</v>
      </c>
      <c r="N68" s="25" t="s">
        <v>299</v>
      </c>
      <c r="O68" s="25" t="s">
        <v>299</v>
      </c>
      <c r="P68" s="25"/>
      <c r="Q68" s="25"/>
      <c r="R68" s="25" t="s">
        <v>299</v>
      </c>
      <c r="S68" s="25"/>
      <c r="T68" s="25" t="s">
        <v>299</v>
      </c>
      <c r="U68" s="25"/>
      <c r="V68" s="25" t="s">
        <v>299</v>
      </c>
      <c r="W68" s="25" t="s">
        <v>299</v>
      </c>
      <c r="X68" s="25" t="s">
        <v>299</v>
      </c>
      <c r="Y68" s="25"/>
      <c r="Z68" s="25"/>
      <c r="AA68" s="25" t="s">
        <v>299</v>
      </c>
      <c r="AB68" s="25" t="s">
        <v>299</v>
      </c>
      <c r="AC68" s="25" t="s">
        <v>299</v>
      </c>
      <c r="AD68" s="25" t="s">
        <v>299</v>
      </c>
      <c r="AE68" s="25" t="s">
        <v>299</v>
      </c>
      <c r="AF68" s="25" t="s">
        <v>299</v>
      </c>
      <c r="AG68" s="25" t="s">
        <v>299</v>
      </c>
      <c r="AH68" s="25" t="s">
        <v>299</v>
      </c>
      <c r="AI68" s="25"/>
      <c r="AJ68" s="25"/>
      <c r="AK68" s="25" t="s">
        <v>299</v>
      </c>
      <c r="AL68" s="25" t="s">
        <v>299</v>
      </c>
      <c r="AM68" s="25" t="s">
        <v>299</v>
      </c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 t="s">
        <v>299</v>
      </c>
      <c r="BF68" s="25" t="s">
        <v>299</v>
      </c>
      <c r="BG68" s="25" t="s">
        <v>299</v>
      </c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2">
        <f t="shared" ref="CY68:CY102" si="1">COUNTIF(D68:CX68, "FP")</f>
        <v>24</v>
      </c>
    </row>
    <row r="69" spans="1:103" x14ac:dyDescent="0.2">
      <c r="A69" s="25" t="s">
        <v>426</v>
      </c>
      <c r="B69" s="26" t="s">
        <v>303</v>
      </c>
      <c r="C69" s="25" t="s">
        <v>299</v>
      </c>
      <c r="D69" s="25"/>
      <c r="E69" s="25"/>
      <c r="F69" s="25"/>
      <c r="G69" s="25" t="s">
        <v>299</v>
      </c>
      <c r="H69" s="25"/>
      <c r="I69" s="25" t="s">
        <v>299</v>
      </c>
      <c r="J69" s="25"/>
      <c r="K69" s="25"/>
      <c r="L69" s="25"/>
      <c r="M69" s="25"/>
      <c r="N69" s="25"/>
      <c r="O69" s="25"/>
      <c r="P69" s="25"/>
      <c r="Q69" s="25"/>
      <c r="R69" s="25" t="s">
        <v>299</v>
      </c>
      <c r="S69" s="25"/>
      <c r="T69" s="25"/>
      <c r="U69" s="25"/>
      <c r="V69" s="25" t="s">
        <v>299</v>
      </c>
      <c r="W69" s="25" t="s">
        <v>299</v>
      </c>
      <c r="X69" s="25" t="s">
        <v>299</v>
      </c>
      <c r="Y69" s="25"/>
      <c r="Z69" s="25"/>
      <c r="AA69" s="25" t="s">
        <v>299</v>
      </c>
      <c r="AB69" s="25"/>
      <c r="AC69" s="25" t="s">
        <v>299</v>
      </c>
      <c r="AD69" s="25"/>
      <c r="AE69" s="25" t="s">
        <v>299</v>
      </c>
      <c r="AF69" s="25" t="s">
        <v>299</v>
      </c>
      <c r="AG69" s="25" t="s">
        <v>299</v>
      </c>
      <c r="AH69" s="25" t="s">
        <v>299</v>
      </c>
      <c r="AI69" s="25"/>
      <c r="AJ69" s="25"/>
      <c r="AK69" s="25"/>
      <c r="AL69" s="25" t="s">
        <v>299</v>
      </c>
      <c r="AM69" s="25" t="s">
        <v>299</v>
      </c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 t="s">
        <v>299</v>
      </c>
      <c r="BF69" s="25" t="s">
        <v>299</v>
      </c>
      <c r="BG69" s="25" t="s">
        <v>299</v>
      </c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2">
        <f t="shared" si="1"/>
        <v>17</v>
      </c>
    </row>
    <row r="70" spans="1:103" x14ac:dyDescent="0.2">
      <c r="A70" s="25" t="s">
        <v>427</v>
      </c>
      <c r="B70" s="26" t="s">
        <v>428</v>
      </c>
      <c r="C70" s="25" t="s">
        <v>299</v>
      </c>
      <c r="D70" s="25"/>
      <c r="E70" s="25" t="s">
        <v>299</v>
      </c>
      <c r="F70" s="25" t="s">
        <v>299</v>
      </c>
      <c r="G70" s="25"/>
      <c r="H70" s="25"/>
      <c r="I70" s="25" t="s">
        <v>299</v>
      </c>
      <c r="J70" s="25" t="s">
        <v>299</v>
      </c>
      <c r="K70" s="25"/>
      <c r="L70" s="25" t="s">
        <v>299</v>
      </c>
      <c r="M70" s="25" t="s">
        <v>299</v>
      </c>
      <c r="N70" s="25"/>
      <c r="O70" s="25" t="s">
        <v>299</v>
      </c>
      <c r="P70" s="25" t="s">
        <v>299</v>
      </c>
      <c r="Q70" s="25"/>
      <c r="R70" s="25" t="s">
        <v>299</v>
      </c>
      <c r="S70" s="25"/>
      <c r="T70" s="25" t="s">
        <v>299</v>
      </c>
      <c r="U70" s="25" t="s">
        <v>299</v>
      </c>
      <c r="V70" s="25" t="s">
        <v>299</v>
      </c>
      <c r="W70" s="25" t="s">
        <v>299</v>
      </c>
      <c r="X70" s="25" t="s">
        <v>299</v>
      </c>
      <c r="Y70" s="25"/>
      <c r="Z70" s="25"/>
      <c r="AA70" s="25" t="s">
        <v>299</v>
      </c>
      <c r="AB70" s="25" t="s">
        <v>299</v>
      </c>
      <c r="AC70" s="25" t="s">
        <v>299</v>
      </c>
      <c r="AD70" s="25"/>
      <c r="AE70" s="25" t="s">
        <v>299</v>
      </c>
      <c r="AF70" s="25" t="s">
        <v>299</v>
      </c>
      <c r="AG70" s="25" t="s">
        <v>299</v>
      </c>
      <c r="AH70" s="25" t="s">
        <v>299</v>
      </c>
      <c r="AI70" s="25"/>
      <c r="AJ70" s="25"/>
      <c r="AK70" s="25" t="s">
        <v>299</v>
      </c>
      <c r="AL70" s="25" t="s">
        <v>299</v>
      </c>
      <c r="AM70" s="25" t="s">
        <v>299</v>
      </c>
      <c r="AN70" s="25"/>
      <c r="AO70" s="25"/>
      <c r="AP70" s="25"/>
      <c r="AQ70" s="25" t="s">
        <v>299</v>
      </c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 t="s">
        <v>299</v>
      </c>
      <c r="BF70" s="25" t="s">
        <v>299</v>
      </c>
      <c r="BG70" s="25" t="s">
        <v>299</v>
      </c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2">
        <f t="shared" si="1"/>
        <v>28</v>
      </c>
    </row>
    <row r="71" spans="1:103" x14ac:dyDescent="0.2">
      <c r="A71" s="25" t="s">
        <v>429</v>
      </c>
      <c r="B71" s="26" t="s">
        <v>430</v>
      </c>
      <c r="C71" s="25" t="s">
        <v>299</v>
      </c>
      <c r="D71" s="25"/>
      <c r="E71" s="25"/>
      <c r="F71" s="25"/>
      <c r="G71" s="25"/>
      <c r="H71" s="25"/>
      <c r="I71" s="25"/>
      <c r="J71" s="25"/>
      <c r="K71" s="25"/>
      <c r="L71" s="25" t="s">
        <v>299</v>
      </c>
      <c r="M71" s="25"/>
      <c r="N71" s="25"/>
      <c r="O71" s="25"/>
      <c r="P71" s="25"/>
      <c r="Q71" s="25"/>
      <c r="R71" s="25"/>
      <c r="S71" s="25"/>
      <c r="T71" s="25" t="s">
        <v>299</v>
      </c>
      <c r="U71" s="25"/>
      <c r="V71" s="25" t="s">
        <v>299</v>
      </c>
      <c r="W71" s="25" t="s">
        <v>299</v>
      </c>
      <c r="X71" s="25"/>
      <c r="Y71" s="25"/>
      <c r="Z71" s="25"/>
      <c r="AA71" s="25"/>
      <c r="AB71" s="25" t="s">
        <v>299</v>
      </c>
      <c r="AC71" s="25" t="s">
        <v>299</v>
      </c>
      <c r="AD71" s="25"/>
      <c r="AE71" s="25" t="s">
        <v>299</v>
      </c>
      <c r="AF71" s="25"/>
      <c r="AG71" s="25" t="s">
        <v>299</v>
      </c>
      <c r="AH71" s="25" t="s">
        <v>299</v>
      </c>
      <c r="AI71" s="25"/>
      <c r="AJ71" s="25"/>
      <c r="AK71" s="25"/>
      <c r="AL71" s="25" t="s">
        <v>299</v>
      </c>
      <c r="AM71" s="25" t="s">
        <v>299</v>
      </c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2">
        <f t="shared" si="1"/>
        <v>11</v>
      </c>
    </row>
    <row r="72" spans="1:103" x14ac:dyDescent="0.2">
      <c r="A72" s="25" t="s">
        <v>431</v>
      </c>
      <c r="B72" s="26" t="s">
        <v>432</v>
      </c>
      <c r="C72" s="25" t="s">
        <v>299</v>
      </c>
      <c r="D72" s="25"/>
      <c r="E72" s="25"/>
      <c r="F72" s="25" t="s">
        <v>299</v>
      </c>
      <c r="G72" s="25"/>
      <c r="H72" s="25"/>
      <c r="I72" s="25" t="s">
        <v>299</v>
      </c>
      <c r="J72" s="25" t="s">
        <v>299</v>
      </c>
      <c r="K72" s="25"/>
      <c r="L72" s="25" t="s">
        <v>299</v>
      </c>
      <c r="M72" s="25" t="s">
        <v>299</v>
      </c>
      <c r="N72" s="25" t="s">
        <v>299</v>
      </c>
      <c r="O72" s="25" t="s">
        <v>299</v>
      </c>
      <c r="P72" s="25" t="s">
        <v>299</v>
      </c>
      <c r="Q72" s="25" t="s">
        <v>299</v>
      </c>
      <c r="R72" s="25" t="s">
        <v>299</v>
      </c>
      <c r="S72" s="25"/>
      <c r="T72" s="25" t="s">
        <v>299</v>
      </c>
      <c r="U72" s="25" t="s">
        <v>299</v>
      </c>
      <c r="V72" s="25" t="s">
        <v>299</v>
      </c>
      <c r="W72" s="25" t="s">
        <v>299</v>
      </c>
      <c r="X72" s="25" t="s">
        <v>299</v>
      </c>
      <c r="Y72" s="25"/>
      <c r="Z72" s="25"/>
      <c r="AA72" s="25" t="s">
        <v>299</v>
      </c>
      <c r="AB72" s="25" t="s">
        <v>299</v>
      </c>
      <c r="AC72" s="25" t="s">
        <v>299</v>
      </c>
      <c r="AD72" s="25"/>
      <c r="AE72" s="25" t="s">
        <v>299</v>
      </c>
      <c r="AF72" s="25" t="s">
        <v>299</v>
      </c>
      <c r="AG72" s="25" t="s">
        <v>299</v>
      </c>
      <c r="AH72" s="25" t="s">
        <v>299</v>
      </c>
      <c r="AI72" s="25"/>
      <c r="AJ72" s="25"/>
      <c r="AK72" s="25"/>
      <c r="AL72" s="25" t="s">
        <v>299</v>
      </c>
      <c r="AM72" s="25" t="s">
        <v>299</v>
      </c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 t="s">
        <v>299</v>
      </c>
      <c r="BF72" s="25" t="s">
        <v>299</v>
      </c>
      <c r="BG72" s="25" t="s">
        <v>299</v>
      </c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2">
        <f t="shared" si="1"/>
        <v>27</v>
      </c>
    </row>
    <row r="73" spans="1:103" x14ac:dyDescent="0.2">
      <c r="A73" s="25" t="s">
        <v>433</v>
      </c>
      <c r="B73" s="26" t="s">
        <v>434</v>
      </c>
      <c r="C73" s="25" t="s">
        <v>299</v>
      </c>
      <c r="D73" s="25"/>
      <c r="E73" s="25"/>
      <c r="F73" s="25"/>
      <c r="G73" s="25"/>
      <c r="H73" s="25"/>
      <c r="I73" s="25" t="s">
        <v>299</v>
      </c>
      <c r="J73" s="25" t="s">
        <v>299</v>
      </c>
      <c r="K73" s="25"/>
      <c r="L73" s="25"/>
      <c r="M73" s="25"/>
      <c r="N73" s="25" t="s">
        <v>299</v>
      </c>
      <c r="O73" s="25" t="s">
        <v>299</v>
      </c>
      <c r="P73" s="25" t="s">
        <v>299</v>
      </c>
      <c r="Q73" s="25"/>
      <c r="R73" s="25"/>
      <c r="S73" s="25"/>
      <c r="T73" s="25" t="s">
        <v>299</v>
      </c>
      <c r="U73" s="25"/>
      <c r="V73" s="25" t="s">
        <v>299</v>
      </c>
      <c r="W73" s="25" t="s">
        <v>299</v>
      </c>
      <c r="X73" s="25"/>
      <c r="Y73" s="25"/>
      <c r="Z73" s="25"/>
      <c r="AA73" s="25"/>
      <c r="AB73" s="25" t="s">
        <v>299</v>
      </c>
      <c r="AC73" s="25" t="s">
        <v>299</v>
      </c>
      <c r="AD73" s="25" t="s">
        <v>299</v>
      </c>
      <c r="AE73" s="25" t="s">
        <v>299</v>
      </c>
      <c r="AF73" s="25" t="s">
        <v>299</v>
      </c>
      <c r="AG73" s="25" t="s">
        <v>299</v>
      </c>
      <c r="AH73" s="25" t="s">
        <v>299</v>
      </c>
      <c r="AI73" s="25"/>
      <c r="AJ73" s="25"/>
      <c r="AK73" s="25"/>
      <c r="AL73" s="25" t="s">
        <v>299</v>
      </c>
      <c r="AM73" s="25" t="s">
        <v>299</v>
      </c>
      <c r="AN73" s="25"/>
      <c r="AO73" s="25"/>
      <c r="AP73" s="25"/>
      <c r="AQ73" s="25"/>
      <c r="AR73" s="25"/>
      <c r="AS73" s="25"/>
      <c r="AT73" s="25" t="s">
        <v>299</v>
      </c>
      <c r="AU73" s="25" t="s">
        <v>299</v>
      </c>
      <c r="AV73" s="25"/>
      <c r="AW73" s="25"/>
      <c r="AX73" s="25"/>
      <c r="AY73" s="25"/>
      <c r="AZ73" s="25"/>
      <c r="BA73" s="25"/>
      <c r="BB73" s="25"/>
      <c r="BC73" s="25"/>
      <c r="BD73" s="25"/>
      <c r="BE73" s="25" t="s">
        <v>299</v>
      </c>
      <c r="BF73" s="25" t="s">
        <v>299</v>
      </c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2">
        <f t="shared" si="1"/>
        <v>21</v>
      </c>
    </row>
    <row r="74" spans="1:103" x14ac:dyDescent="0.2">
      <c r="A74" s="25" t="s">
        <v>435</v>
      </c>
      <c r="B74" s="26" t="s">
        <v>436</v>
      </c>
      <c r="C74" s="25" t="s">
        <v>299</v>
      </c>
      <c r="D74" s="25"/>
      <c r="E74" s="25"/>
      <c r="F74" s="25"/>
      <c r="G74" s="25"/>
      <c r="H74" s="25"/>
      <c r="I74" s="25" t="s">
        <v>299</v>
      </c>
      <c r="J74" s="25" t="s">
        <v>299</v>
      </c>
      <c r="K74" s="25"/>
      <c r="L74" s="25"/>
      <c r="M74" s="25"/>
      <c r="N74" s="25" t="s">
        <v>299</v>
      </c>
      <c r="O74" s="25" t="s">
        <v>299</v>
      </c>
      <c r="P74" s="25"/>
      <c r="Q74" s="25" t="s">
        <v>299</v>
      </c>
      <c r="R74" s="25"/>
      <c r="S74" s="25"/>
      <c r="T74" s="25" t="s">
        <v>299</v>
      </c>
      <c r="U74" s="25"/>
      <c r="V74" s="25" t="s">
        <v>299</v>
      </c>
      <c r="W74" s="25" t="s">
        <v>299</v>
      </c>
      <c r="X74" s="25"/>
      <c r="Y74" s="25"/>
      <c r="Z74" s="25"/>
      <c r="AA74" s="25"/>
      <c r="AB74" s="25"/>
      <c r="AC74" s="25" t="s">
        <v>299</v>
      </c>
      <c r="AD74" s="25"/>
      <c r="AE74" s="25" t="s">
        <v>299</v>
      </c>
      <c r="AF74" s="25" t="s">
        <v>299</v>
      </c>
      <c r="AG74" s="25"/>
      <c r="AH74" s="25"/>
      <c r="AI74" s="25"/>
      <c r="AJ74" s="25"/>
      <c r="AK74" s="25" t="s">
        <v>299</v>
      </c>
      <c r="AL74" s="25" t="s">
        <v>299</v>
      </c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2">
        <f t="shared" si="1"/>
        <v>13</v>
      </c>
    </row>
    <row r="75" spans="1:103" x14ac:dyDescent="0.2">
      <c r="A75" s="25" t="s">
        <v>437</v>
      </c>
      <c r="B75" s="26" t="s">
        <v>438</v>
      </c>
      <c r="C75" s="25" t="s">
        <v>299</v>
      </c>
      <c r="D75" s="25"/>
      <c r="E75" s="25"/>
      <c r="F75" s="25" t="s">
        <v>299</v>
      </c>
      <c r="G75" s="25"/>
      <c r="H75" s="25"/>
      <c r="I75" s="25" t="s">
        <v>299</v>
      </c>
      <c r="J75" s="25" t="s">
        <v>299</v>
      </c>
      <c r="K75" s="25"/>
      <c r="L75" s="25" t="s">
        <v>299</v>
      </c>
      <c r="M75" s="25" t="s">
        <v>299</v>
      </c>
      <c r="N75" s="25" t="s">
        <v>299</v>
      </c>
      <c r="O75" s="25" t="s">
        <v>299</v>
      </c>
      <c r="P75" s="25" t="s">
        <v>299</v>
      </c>
      <c r="Q75" s="25" t="s">
        <v>299</v>
      </c>
      <c r="R75" s="25" t="s">
        <v>299</v>
      </c>
      <c r="S75" s="25"/>
      <c r="T75" s="25" t="s">
        <v>299</v>
      </c>
      <c r="U75" s="25" t="s">
        <v>299</v>
      </c>
      <c r="V75" s="25" t="s">
        <v>299</v>
      </c>
      <c r="W75" s="25" t="s">
        <v>299</v>
      </c>
      <c r="X75" s="25" t="s">
        <v>299</v>
      </c>
      <c r="Y75" s="25" t="s">
        <v>299</v>
      </c>
      <c r="Z75" s="25" t="s">
        <v>299</v>
      </c>
      <c r="AA75" s="25" t="s">
        <v>299</v>
      </c>
      <c r="AB75" s="25" t="s">
        <v>299</v>
      </c>
      <c r="AC75" s="25" t="s">
        <v>299</v>
      </c>
      <c r="AD75" s="25"/>
      <c r="AE75" s="25" t="s">
        <v>299</v>
      </c>
      <c r="AF75" s="25" t="s">
        <v>299</v>
      </c>
      <c r="AG75" s="25" t="s">
        <v>299</v>
      </c>
      <c r="AH75" s="25" t="s">
        <v>299</v>
      </c>
      <c r="AI75" s="25"/>
      <c r="AJ75" s="25"/>
      <c r="AK75" s="25" t="s">
        <v>299</v>
      </c>
      <c r="AL75" s="25" t="s">
        <v>299</v>
      </c>
      <c r="AM75" s="25" t="s">
        <v>299</v>
      </c>
      <c r="AN75" s="25"/>
      <c r="AO75" s="25"/>
      <c r="AP75" s="25"/>
      <c r="AQ75" s="25" t="s">
        <v>299</v>
      </c>
      <c r="AR75" s="25" t="s">
        <v>299</v>
      </c>
      <c r="AS75" s="25" t="s">
        <v>299</v>
      </c>
      <c r="AT75" s="25" t="s">
        <v>299</v>
      </c>
      <c r="AU75" s="25" t="s">
        <v>299</v>
      </c>
      <c r="AV75" s="25" t="s">
        <v>299</v>
      </c>
      <c r="AW75" s="25"/>
      <c r="AX75" s="25" t="s">
        <v>299</v>
      </c>
      <c r="AY75" s="25" t="s">
        <v>299</v>
      </c>
      <c r="AZ75" s="25"/>
      <c r="BA75" s="25" t="s">
        <v>299</v>
      </c>
      <c r="BB75" s="25" t="s">
        <v>299</v>
      </c>
      <c r="BC75" s="25" t="s">
        <v>299</v>
      </c>
      <c r="BD75" s="25"/>
      <c r="BE75" s="25" t="s">
        <v>299</v>
      </c>
      <c r="BF75" s="25" t="s">
        <v>299</v>
      </c>
      <c r="BG75" s="25" t="s">
        <v>299</v>
      </c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 t="s">
        <v>299</v>
      </c>
      <c r="BW75" s="25" t="s">
        <v>299</v>
      </c>
      <c r="BX75" s="25" t="s">
        <v>299</v>
      </c>
      <c r="BY75" s="25" t="s">
        <v>299</v>
      </c>
      <c r="BZ75" s="25" t="s">
        <v>299</v>
      </c>
      <c r="CA75" s="25"/>
      <c r="CB75" s="25"/>
      <c r="CC75" s="25"/>
      <c r="CD75" s="25" t="s">
        <v>299</v>
      </c>
      <c r="CE75" s="25"/>
      <c r="CF75" s="25"/>
      <c r="CG75" s="25"/>
      <c r="CH75" s="25"/>
      <c r="CI75" s="25"/>
      <c r="CJ75" s="25" t="s">
        <v>299</v>
      </c>
      <c r="CK75" s="25"/>
      <c r="CL75" s="25"/>
      <c r="CM75" s="25"/>
      <c r="CN75" s="25"/>
      <c r="CO75" s="25"/>
      <c r="CP75" s="25"/>
      <c r="CQ75" s="25"/>
      <c r="CR75" s="25" t="s">
        <v>299</v>
      </c>
      <c r="CS75" s="25" t="s">
        <v>299</v>
      </c>
      <c r="CT75" s="25" t="s">
        <v>299</v>
      </c>
      <c r="CU75" s="25" t="s">
        <v>299</v>
      </c>
      <c r="CV75" s="25" t="s">
        <v>299</v>
      </c>
      <c r="CW75" s="25"/>
      <c r="CX75" s="25"/>
      <c r="CY75" s="22">
        <f t="shared" si="1"/>
        <v>53</v>
      </c>
    </row>
    <row r="76" spans="1:103" x14ac:dyDescent="0.2">
      <c r="A76" s="25" t="s">
        <v>439</v>
      </c>
      <c r="B76" s="26" t="s">
        <v>440</v>
      </c>
      <c r="C76" s="25" t="s">
        <v>299</v>
      </c>
      <c r="D76" s="25"/>
      <c r="E76" s="25"/>
      <c r="F76" s="25" t="s">
        <v>299</v>
      </c>
      <c r="G76" s="25"/>
      <c r="H76" s="25"/>
      <c r="I76" s="25" t="s">
        <v>299</v>
      </c>
      <c r="J76" s="25"/>
      <c r="K76" s="25"/>
      <c r="L76" s="25"/>
      <c r="M76" s="25"/>
      <c r="N76" s="25"/>
      <c r="O76" s="25"/>
      <c r="P76" s="25" t="s">
        <v>299</v>
      </c>
      <c r="Q76" s="25"/>
      <c r="R76" s="25"/>
      <c r="S76" s="25"/>
      <c r="T76" s="25"/>
      <c r="U76" s="25" t="s">
        <v>299</v>
      </c>
      <c r="V76" s="25" t="s">
        <v>299</v>
      </c>
      <c r="W76" s="25"/>
      <c r="X76" s="25"/>
      <c r="Y76" s="25"/>
      <c r="Z76" s="25"/>
      <c r="AA76" s="25"/>
      <c r="AB76" s="25"/>
      <c r="AC76" s="25"/>
      <c r="AD76" s="25"/>
      <c r="AE76" s="25"/>
      <c r="AF76" s="25" t="s">
        <v>299</v>
      </c>
      <c r="AG76" s="25" t="s">
        <v>299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 t="s">
        <v>299</v>
      </c>
      <c r="BF76" s="25" t="s">
        <v>299</v>
      </c>
      <c r="BG76" s="25" t="s">
        <v>299</v>
      </c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2">
        <f t="shared" si="1"/>
        <v>10</v>
      </c>
    </row>
    <row r="77" spans="1:103" x14ac:dyDescent="0.2">
      <c r="A77" s="25" t="s">
        <v>441</v>
      </c>
      <c r="B77" s="26" t="s">
        <v>376</v>
      </c>
      <c r="C77" s="25" t="s">
        <v>299</v>
      </c>
      <c r="D77" s="25" t="s">
        <v>299</v>
      </c>
      <c r="E77" s="25" t="s">
        <v>299</v>
      </c>
      <c r="F77" s="25" t="s">
        <v>299</v>
      </c>
      <c r="G77" s="25" t="s">
        <v>299</v>
      </c>
      <c r="H77" s="25" t="s">
        <v>299</v>
      </c>
      <c r="I77" s="25" t="s">
        <v>299</v>
      </c>
      <c r="J77" s="25" t="s">
        <v>299</v>
      </c>
      <c r="K77" s="25" t="s">
        <v>299</v>
      </c>
      <c r="L77" s="25" t="s">
        <v>299</v>
      </c>
      <c r="M77" s="25" t="s">
        <v>299</v>
      </c>
      <c r="N77" s="25" t="s">
        <v>299</v>
      </c>
      <c r="O77" s="25" t="s">
        <v>299</v>
      </c>
      <c r="P77" s="25" t="s">
        <v>299</v>
      </c>
      <c r="Q77" s="25" t="s">
        <v>299</v>
      </c>
      <c r="R77" s="25" t="s">
        <v>299</v>
      </c>
      <c r="S77" s="25"/>
      <c r="T77" s="25" t="s">
        <v>299</v>
      </c>
      <c r="U77" s="25" t="s">
        <v>299</v>
      </c>
      <c r="V77" s="25" t="s">
        <v>299</v>
      </c>
      <c r="W77" s="25" t="s">
        <v>299</v>
      </c>
      <c r="X77" s="25" t="s">
        <v>299</v>
      </c>
      <c r="Y77" s="25"/>
      <c r="Z77" s="25"/>
      <c r="AA77" s="25" t="s">
        <v>299</v>
      </c>
      <c r="AB77" s="25" t="s">
        <v>299</v>
      </c>
      <c r="AC77" s="25" t="s">
        <v>299</v>
      </c>
      <c r="AD77" s="25" t="s">
        <v>299</v>
      </c>
      <c r="AE77" s="25" t="s">
        <v>299</v>
      </c>
      <c r="AF77" s="25" t="s">
        <v>299</v>
      </c>
      <c r="AG77" s="25" t="s">
        <v>299</v>
      </c>
      <c r="AH77" s="25" t="s">
        <v>299</v>
      </c>
      <c r="AI77" s="25" t="s">
        <v>299</v>
      </c>
      <c r="AJ77" s="25" t="s">
        <v>299</v>
      </c>
      <c r="AK77" s="25"/>
      <c r="AL77" s="25" t="s">
        <v>299</v>
      </c>
      <c r="AM77" s="25" t="s">
        <v>299</v>
      </c>
      <c r="AN77" s="25"/>
      <c r="AO77" s="25" t="s">
        <v>299</v>
      </c>
      <c r="AP77" s="25"/>
      <c r="AQ77" s="25" t="s">
        <v>299</v>
      </c>
      <c r="AR77" s="25" t="s">
        <v>299</v>
      </c>
      <c r="AS77" s="25" t="s">
        <v>299</v>
      </c>
      <c r="AT77" s="25" t="s">
        <v>299</v>
      </c>
      <c r="AU77" s="25" t="s">
        <v>299</v>
      </c>
      <c r="AV77" s="25" t="s">
        <v>299</v>
      </c>
      <c r="AW77" s="25" t="s">
        <v>299</v>
      </c>
      <c r="AX77" s="25"/>
      <c r="AY77" s="25"/>
      <c r="AZ77" s="25" t="s">
        <v>299</v>
      </c>
      <c r="BA77" s="25" t="s">
        <v>299</v>
      </c>
      <c r="BB77" s="25" t="s">
        <v>299</v>
      </c>
      <c r="BC77" s="25" t="s">
        <v>299</v>
      </c>
      <c r="BD77" s="25" t="s">
        <v>299</v>
      </c>
      <c r="BE77" s="25" t="s">
        <v>299</v>
      </c>
      <c r="BF77" s="25" t="s">
        <v>299</v>
      </c>
      <c r="BG77" s="25" t="s">
        <v>299</v>
      </c>
      <c r="BH77" s="25" t="s">
        <v>299</v>
      </c>
      <c r="BI77" s="25" t="s">
        <v>299</v>
      </c>
      <c r="BJ77" s="25" t="s">
        <v>299</v>
      </c>
      <c r="BK77" s="25"/>
      <c r="BL77" s="25"/>
      <c r="BM77" s="25" t="s">
        <v>299</v>
      </c>
      <c r="BN77" s="25"/>
      <c r="BO77" s="25"/>
      <c r="BP77" s="25"/>
      <c r="BQ77" s="25"/>
      <c r="BR77" s="25"/>
      <c r="BS77" s="25"/>
      <c r="BT77" s="25"/>
      <c r="BU77" s="25"/>
      <c r="BV77" s="25"/>
      <c r="BW77" s="25" t="s">
        <v>299</v>
      </c>
      <c r="BX77" s="25" t="s">
        <v>299</v>
      </c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 t="s">
        <v>299</v>
      </c>
      <c r="CX77" s="25" t="s">
        <v>299</v>
      </c>
      <c r="CY77" s="22">
        <f t="shared" si="1"/>
        <v>56</v>
      </c>
    </row>
    <row r="78" spans="1:103" x14ac:dyDescent="0.2">
      <c r="A78" s="25" t="s">
        <v>442</v>
      </c>
      <c r="B78" s="26" t="s">
        <v>443</v>
      </c>
      <c r="C78" s="25" t="s">
        <v>299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 t="s">
        <v>299</v>
      </c>
      <c r="U78" s="25"/>
      <c r="V78" s="25" t="s">
        <v>299</v>
      </c>
      <c r="W78" s="25"/>
      <c r="X78" s="25"/>
      <c r="Y78" s="25"/>
      <c r="Z78" s="25"/>
      <c r="AA78" s="25"/>
      <c r="AB78" s="25"/>
      <c r="AC78" s="25" t="s">
        <v>299</v>
      </c>
      <c r="AD78" s="25"/>
      <c r="AE78" s="25" t="s">
        <v>299</v>
      </c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2">
        <f t="shared" si="1"/>
        <v>4</v>
      </c>
    </row>
    <row r="79" spans="1:103" x14ac:dyDescent="0.2">
      <c r="A79" s="25" t="s">
        <v>444</v>
      </c>
      <c r="B79" s="26" t="s">
        <v>445</v>
      </c>
      <c r="C79" s="25" t="s">
        <v>299</v>
      </c>
      <c r="D79" s="25" t="s">
        <v>299</v>
      </c>
      <c r="E79" s="25" t="s">
        <v>299</v>
      </c>
      <c r="F79" s="25" t="s">
        <v>299</v>
      </c>
      <c r="G79" s="25" t="s">
        <v>299</v>
      </c>
      <c r="H79" s="25" t="s">
        <v>299</v>
      </c>
      <c r="I79" s="25" t="s">
        <v>299</v>
      </c>
      <c r="J79" s="25" t="s">
        <v>299</v>
      </c>
      <c r="K79" s="25" t="s">
        <v>299</v>
      </c>
      <c r="L79" s="25" t="s">
        <v>299</v>
      </c>
      <c r="M79" s="25" t="s">
        <v>299</v>
      </c>
      <c r="N79" s="25" t="s">
        <v>299</v>
      </c>
      <c r="O79" s="25" t="s">
        <v>299</v>
      </c>
      <c r="P79" s="25" t="s">
        <v>299</v>
      </c>
      <c r="Q79" s="25" t="s">
        <v>299</v>
      </c>
      <c r="R79" s="25" t="s">
        <v>299</v>
      </c>
      <c r="S79" s="25"/>
      <c r="T79" s="25" t="s">
        <v>299</v>
      </c>
      <c r="U79" s="25" t="s">
        <v>299</v>
      </c>
      <c r="V79" s="25" t="s">
        <v>299</v>
      </c>
      <c r="W79" s="25" t="s">
        <v>299</v>
      </c>
      <c r="X79" s="25" t="s">
        <v>299</v>
      </c>
      <c r="Y79" s="25" t="s">
        <v>299</v>
      </c>
      <c r="Z79" s="25" t="s">
        <v>299</v>
      </c>
      <c r="AA79" s="25" t="s">
        <v>299</v>
      </c>
      <c r="AB79" s="25" t="s">
        <v>299</v>
      </c>
      <c r="AC79" s="25" t="s">
        <v>299</v>
      </c>
      <c r="AD79" s="25"/>
      <c r="AE79" s="25" t="s">
        <v>299</v>
      </c>
      <c r="AF79" s="25" t="s">
        <v>299</v>
      </c>
      <c r="AG79" s="25" t="s">
        <v>299</v>
      </c>
      <c r="AH79" s="25" t="s">
        <v>299</v>
      </c>
      <c r="AI79" s="25" t="s">
        <v>299</v>
      </c>
      <c r="AJ79" s="25" t="s">
        <v>299</v>
      </c>
      <c r="AK79" s="25" t="s">
        <v>299</v>
      </c>
      <c r="AL79" s="25" t="s">
        <v>299</v>
      </c>
      <c r="AM79" s="25" t="s">
        <v>299</v>
      </c>
      <c r="AN79" s="25"/>
      <c r="AO79" s="25"/>
      <c r="AP79" s="25"/>
      <c r="AQ79" s="25" t="s">
        <v>299</v>
      </c>
      <c r="AR79" s="25" t="s">
        <v>299</v>
      </c>
      <c r="AS79" s="25" t="s">
        <v>299</v>
      </c>
      <c r="AT79" s="25" t="s">
        <v>299</v>
      </c>
      <c r="AU79" s="25" t="s">
        <v>299</v>
      </c>
      <c r="AV79" s="25" t="s">
        <v>299</v>
      </c>
      <c r="AW79" s="25" t="s">
        <v>299</v>
      </c>
      <c r="AX79" s="25" t="s">
        <v>299</v>
      </c>
      <c r="AY79" s="25" t="s">
        <v>299</v>
      </c>
      <c r="AZ79" s="25"/>
      <c r="BA79" s="25" t="s">
        <v>299</v>
      </c>
      <c r="BB79" s="25" t="s">
        <v>299</v>
      </c>
      <c r="BC79" s="25" t="s">
        <v>299</v>
      </c>
      <c r="BD79" s="25"/>
      <c r="BE79" s="25" t="s">
        <v>299</v>
      </c>
      <c r="BF79" s="25" t="s">
        <v>299</v>
      </c>
      <c r="BG79" s="25" t="s">
        <v>299</v>
      </c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 t="s">
        <v>299</v>
      </c>
      <c r="BW79" s="25" t="s">
        <v>299</v>
      </c>
      <c r="BX79" s="25" t="s">
        <v>299</v>
      </c>
      <c r="BY79" s="25" t="s">
        <v>299</v>
      </c>
      <c r="BZ79" s="25" t="s">
        <v>299</v>
      </c>
      <c r="CA79" s="25"/>
      <c r="CB79" s="25"/>
      <c r="CC79" s="25"/>
      <c r="CD79" s="25" t="s">
        <v>299</v>
      </c>
      <c r="CE79" s="25"/>
      <c r="CF79" s="25"/>
      <c r="CG79" s="25"/>
      <c r="CH79" s="25"/>
      <c r="CI79" s="25"/>
      <c r="CJ79" s="25" t="s">
        <v>299</v>
      </c>
      <c r="CK79" s="25"/>
      <c r="CL79" s="25"/>
      <c r="CM79" s="25"/>
      <c r="CN79" s="25"/>
      <c r="CO79" s="25"/>
      <c r="CP79" s="25"/>
      <c r="CQ79" s="25"/>
      <c r="CR79" s="25" t="s">
        <v>299</v>
      </c>
      <c r="CS79" s="25" t="s">
        <v>299</v>
      </c>
      <c r="CT79" s="25" t="s">
        <v>299</v>
      </c>
      <c r="CU79" s="25" t="s">
        <v>299</v>
      </c>
      <c r="CV79" s="25" t="s">
        <v>299</v>
      </c>
      <c r="CW79" s="25"/>
      <c r="CX79" s="25"/>
      <c r="CY79" s="22">
        <f t="shared" si="1"/>
        <v>61</v>
      </c>
    </row>
    <row r="80" spans="1:103" x14ac:dyDescent="0.2">
      <c r="A80" s="25" t="s">
        <v>446</v>
      </c>
      <c r="B80" s="26" t="s">
        <v>447</v>
      </c>
      <c r="C80" s="25" t="s">
        <v>299</v>
      </c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 t="s">
        <v>299</v>
      </c>
      <c r="U80" s="25"/>
      <c r="V80" s="25" t="s">
        <v>299</v>
      </c>
      <c r="W80" s="25"/>
      <c r="X80" s="25"/>
      <c r="Y80" s="25"/>
      <c r="Z80" s="25"/>
      <c r="AA80" s="25"/>
      <c r="AB80" s="25"/>
      <c r="AC80" s="25" t="s">
        <v>299</v>
      </c>
      <c r="AD80" s="25"/>
      <c r="AE80" s="25" t="s">
        <v>299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2">
        <f t="shared" si="1"/>
        <v>4</v>
      </c>
    </row>
    <row r="81" spans="1:103" x14ac:dyDescent="0.2">
      <c r="A81" s="25" t="s">
        <v>448</v>
      </c>
      <c r="B81" s="26" t="s">
        <v>449</v>
      </c>
      <c r="C81" s="25" t="s">
        <v>299</v>
      </c>
      <c r="D81" s="25"/>
      <c r="E81" s="25" t="s">
        <v>299</v>
      </c>
      <c r="F81" s="25"/>
      <c r="G81" s="25"/>
      <c r="H81" s="25"/>
      <c r="I81" s="25" t="s">
        <v>299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 t="s">
        <v>299</v>
      </c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2">
        <f t="shared" si="1"/>
        <v>3</v>
      </c>
    </row>
    <row r="82" spans="1:103" x14ac:dyDescent="0.2">
      <c r="A82" s="25" t="s">
        <v>450</v>
      </c>
      <c r="B82" s="26" t="s">
        <v>451</v>
      </c>
      <c r="C82" s="25" t="s">
        <v>299</v>
      </c>
      <c r="D82" s="25"/>
      <c r="E82" s="25"/>
      <c r="F82" s="25"/>
      <c r="G82" s="25"/>
      <c r="H82" s="25"/>
      <c r="I82" s="25" t="s">
        <v>299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 t="s">
        <v>299</v>
      </c>
      <c r="W82" s="25" t="s">
        <v>299</v>
      </c>
      <c r="X82" s="25"/>
      <c r="Y82" s="25"/>
      <c r="Z82" s="25"/>
      <c r="AA82" s="25"/>
      <c r="AB82" s="25"/>
      <c r="AC82" s="25"/>
      <c r="AD82" s="25"/>
      <c r="AE82" s="25"/>
      <c r="AF82" s="25"/>
      <c r="AG82" s="25" t="s">
        <v>299</v>
      </c>
      <c r="AH82" s="25"/>
      <c r="AI82" s="25"/>
      <c r="AJ82" s="25"/>
      <c r="AK82" s="25"/>
      <c r="AL82" s="25" t="s">
        <v>299</v>
      </c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 t="s">
        <v>299</v>
      </c>
      <c r="BF82" s="25" t="s">
        <v>299</v>
      </c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2">
        <f t="shared" si="1"/>
        <v>7</v>
      </c>
    </row>
    <row r="83" spans="1:103" x14ac:dyDescent="0.2">
      <c r="A83" s="25" t="s">
        <v>452</v>
      </c>
      <c r="B83" s="26" t="s">
        <v>453</v>
      </c>
      <c r="C83" s="25" t="s">
        <v>299</v>
      </c>
      <c r="D83" s="25"/>
      <c r="E83" s="25"/>
      <c r="F83" s="25"/>
      <c r="G83" s="25"/>
      <c r="H83" s="25"/>
      <c r="I83" s="25" t="s">
        <v>299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 t="s">
        <v>299</v>
      </c>
      <c r="W83" s="25" t="s">
        <v>299</v>
      </c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 t="s">
        <v>299</v>
      </c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2">
        <f t="shared" si="1"/>
        <v>4</v>
      </c>
    </row>
    <row r="84" spans="1:103" x14ac:dyDescent="0.2">
      <c r="A84" s="25" t="s">
        <v>454</v>
      </c>
      <c r="B84" s="26" t="s">
        <v>455</v>
      </c>
      <c r="C84" s="25" t="s">
        <v>299</v>
      </c>
      <c r="D84" s="25"/>
      <c r="E84" s="25"/>
      <c r="F84" s="25" t="s">
        <v>299</v>
      </c>
      <c r="G84" s="25" t="s">
        <v>299</v>
      </c>
      <c r="H84" s="25"/>
      <c r="I84" s="25" t="s">
        <v>299</v>
      </c>
      <c r="J84" s="25" t="s">
        <v>299</v>
      </c>
      <c r="K84" s="25"/>
      <c r="L84" s="25" t="s">
        <v>299</v>
      </c>
      <c r="M84" s="25" t="s">
        <v>299</v>
      </c>
      <c r="N84" s="25" t="s">
        <v>299</v>
      </c>
      <c r="O84" s="25" t="s">
        <v>299</v>
      </c>
      <c r="P84" s="25" t="s">
        <v>299</v>
      </c>
      <c r="Q84" s="25" t="s">
        <v>299</v>
      </c>
      <c r="R84" s="25" t="s">
        <v>299</v>
      </c>
      <c r="S84" s="25"/>
      <c r="T84" s="25" t="s">
        <v>299</v>
      </c>
      <c r="U84" s="25" t="s">
        <v>299</v>
      </c>
      <c r="V84" s="25" t="s">
        <v>299</v>
      </c>
      <c r="W84" s="25" t="s">
        <v>299</v>
      </c>
      <c r="X84" s="25" t="s">
        <v>299</v>
      </c>
      <c r="Y84" s="25" t="s">
        <v>299</v>
      </c>
      <c r="Z84" s="25" t="s">
        <v>299</v>
      </c>
      <c r="AA84" s="25" t="s">
        <v>299</v>
      </c>
      <c r="AB84" s="25" t="s">
        <v>299</v>
      </c>
      <c r="AC84" s="25" t="s">
        <v>299</v>
      </c>
      <c r="AD84" s="25"/>
      <c r="AE84" s="25" t="s">
        <v>299</v>
      </c>
      <c r="AF84" s="25" t="s">
        <v>299</v>
      </c>
      <c r="AG84" s="25" t="s">
        <v>299</v>
      </c>
      <c r="AH84" s="25" t="s">
        <v>299</v>
      </c>
      <c r="AI84" s="25"/>
      <c r="AJ84" s="25"/>
      <c r="AK84" s="25" t="s">
        <v>299</v>
      </c>
      <c r="AL84" s="25" t="s">
        <v>299</v>
      </c>
      <c r="AM84" s="25" t="s">
        <v>299</v>
      </c>
      <c r="AN84" s="25"/>
      <c r="AO84" s="25"/>
      <c r="AP84" s="25"/>
      <c r="AQ84" s="25" t="s">
        <v>299</v>
      </c>
      <c r="AR84" s="25" t="s">
        <v>299</v>
      </c>
      <c r="AS84" s="25" t="s">
        <v>299</v>
      </c>
      <c r="AT84" s="25" t="s">
        <v>299</v>
      </c>
      <c r="AU84" s="25" t="s">
        <v>299</v>
      </c>
      <c r="AV84" s="25" t="s">
        <v>299</v>
      </c>
      <c r="AW84" s="25"/>
      <c r="AX84" s="25" t="s">
        <v>299</v>
      </c>
      <c r="AY84" s="25" t="s">
        <v>299</v>
      </c>
      <c r="AZ84" s="25"/>
      <c r="BA84" s="25" t="s">
        <v>299</v>
      </c>
      <c r="BB84" s="25" t="s">
        <v>299</v>
      </c>
      <c r="BC84" s="25" t="s">
        <v>299</v>
      </c>
      <c r="BD84" s="25"/>
      <c r="BE84" s="25" t="s">
        <v>299</v>
      </c>
      <c r="BF84" s="25" t="s">
        <v>299</v>
      </c>
      <c r="BG84" s="25" t="s">
        <v>299</v>
      </c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 t="s">
        <v>299</v>
      </c>
      <c r="BW84" s="25" t="s">
        <v>299</v>
      </c>
      <c r="BX84" s="25" t="s">
        <v>299</v>
      </c>
      <c r="BY84" s="25" t="s">
        <v>299</v>
      </c>
      <c r="BZ84" s="25" t="s">
        <v>299</v>
      </c>
      <c r="CA84" s="25"/>
      <c r="CB84" s="25"/>
      <c r="CC84" s="25"/>
      <c r="CD84" s="25" t="s">
        <v>299</v>
      </c>
      <c r="CE84" s="25"/>
      <c r="CF84" s="25"/>
      <c r="CG84" s="25"/>
      <c r="CH84" s="25"/>
      <c r="CI84" s="25"/>
      <c r="CJ84" s="25" t="s">
        <v>299</v>
      </c>
      <c r="CK84" s="25"/>
      <c r="CL84" s="25"/>
      <c r="CM84" s="25"/>
      <c r="CN84" s="25"/>
      <c r="CO84" s="25"/>
      <c r="CP84" s="25"/>
      <c r="CQ84" s="25"/>
      <c r="CR84" s="25" t="s">
        <v>299</v>
      </c>
      <c r="CS84" s="25" t="s">
        <v>299</v>
      </c>
      <c r="CT84" s="25" t="s">
        <v>299</v>
      </c>
      <c r="CU84" s="25" t="s">
        <v>299</v>
      </c>
      <c r="CV84" s="25" t="s">
        <v>299</v>
      </c>
      <c r="CW84" s="25"/>
      <c r="CX84" s="25"/>
      <c r="CY84" s="22">
        <f t="shared" si="1"/>
        <v>54</v>
      </c>
    </row>
    <row r="85" spans="1:103" x14ac:dyDescent="0.2">
      <c r="A85" s="25" t="s">
        <v>456</v>
      </c>
      <c r="B85" s="26" t="s">
        <v>457</v>
      </c>
      <c r="C85" s="25" t="s">
        <v>299</v>
      </c>
      <c r="D85" s="25"/>
      <c r="E85" s="25"/>
      <c r="F85" s="25"/>
      <c r="G85" s="25" t="s">
        <v>299</v>
      </c>
      <c r="H85" s="25"/>
      <c r="I85" s="25" t="s">
        <v>299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 t="s">
        <v>299</v>
      </c>
      <c r="U85" s="25"/>
      <c r="V85" s="25" t="s">
        <v>299</v>
      </c>
      <c r="W85" s="25" t="s">
        <v>299</v>
      </c>
      <c r="X85" s="25"/>
      <c r="Y85" s="25"/>
      <c r="Z85" s="25"/>
      <c r="AA85" s="25"/>
      <c r="AB85" s="25"/>
      <c r="AC85" s="25" t="s">
        <v>299</v>
      </c>
      <c r="AD85" s="25"/>
      <c r="AE85" s="25" t="s">
        <v>299</v>
      </c>
      <c r="AF85" s="25"/>
      <c r="AG85" s="25" t="s">
        <v>299</v>
      </c>
      <c r="AH85" s="25" t="s">
        <v>299</v>
      </c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2">
        <f t="shared" si="1"/>
        <v>9</v>
      </c>
    </row>
    <row r="86" spans="1:103" x14ac:dyDescent="0.2">
      <c r="A86" s="25" t="s">
        <v>458</v>
      </c>
      <c r="B86" s="26" t="s">
        <v>459</v>
      </c>
      <c r="C86" s="25" t="s">
        <v>299</v>
      </c>
      <c r="D86" s="25"/>
      <c r="E86" s="25"/>
      <c r="F86" s="25"/>
      <c r="G86" s="25"/>
      <c r="H86" s="25"/>
      <c r="I86" s="25" t="s">
        <v>299</v>
      </c>
      <c r="J86" s="25" t="s">
        <v>299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 t="s">
        <v>299</v>
      </c>
      <c r="W86" s="25" t="s">
        <v>299</v>
      </c>
      <c r="X86" s="25"/>
      <c r="Y86" s="25"/>
      <c r="Z86" s="25"/>
      <c r="AA86" s="25"/>
      <c r="AB86" s="25"/>
      <c r="AC86" s="25"/>
      <c r="AD86" s="25"/>
      <c r="AE86" s="25"/>
      <c r="AF86" s="25" t="s">
        <v>299</v>
      </c>
      <c r="AG86" s="25" t="s">
        <v>299</v>
      </c>
      <c r="AH86" s="25" t="s">
        <v>299</v>
      </c>
      <c r="AI86" s="25"/>
      <c r="AJ86" s="25"/>
      <c r="AK86" s="25"/>
      <c r="AL86" s="25" t="s">
        <v>299</v>
      </c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 t="s">
        <v>299</v>
      </c>
      <c r="BF86" s="25" t="s">
        <v>299</v>
      </c>
      <c r="BG86" s="25" t="s">
        <v>299</v>
      </c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2">
        <f t="shared" si="1"/>
        <v>11</v>
      </c>
    </row>
    <row r="87" spans="1:103" x14ac:dyDescent="0.2">
      <c r="A87" s="25" t="s">
        <v>460</v>
      </c>
      <c r="B87" s="26" t="s">
        <v>461</v>
      </c>
      <c r="C87" s="25" t="s">
        <v>299</v>
      </c>
      <c r="D87" s="25"/>
      <c r="E87" s="25"/>
      <c r="F87" s="25"/>
      <c r="G87" s="25"/>
      <c r="H87" s="25"/>
      <c r="I87" s="25" t="s">
        <v>299</v>
      </c>
      <c r="J87" s="25" t="s">
        <v>299</v>
      </c>
      <c r="K87" s="25"/>
      <c r="L87" s="25" t="s">
        <v>299</v>
      </c>
      <c r="M87" s="25" t="s">
        <v>299</v>
      </c>
      <c r="N87" s="25"/>
      <c r="O87" s="25"/>
      <c r="P87" s="25"/>
      <c r="Q87" s="25"/>
      <c r="R87" s="25"/>
      <c r="S87" s="25"/>
      <c r="T87" s="25" t="s">
        <v>299</v>
      </c>
      <c r="U87" s="25" t="s">
        <v>299</v>
      </c>
      <c r="V87" s="25" t="s">
        <v>299</v>
      </c>
      <c r="W87" s="25" t="s">
        <v>299</v>
      </c>
      <c r="X87" s="25"/>
      <c r="Y87" s="25"/>
      <c r="Z87" s="25"/>
      <c r="AA87" s="25"/>
      <c r="AB87" s="25"/>
      <c r="AC87" s="25" t="s">
        <v>299</v>
      </c>
      <c r="AD87" s="25"/>
      <c r="AE87" s="25" t="s">
        <v>299</v>
      </c>
      <c r="AF87" s="25"/>
      <c r="AG87" s="25" t="s">
        <v>299</v>
      </c>
      <c r="AH87" s="25" t="s">
        <v>299</v>
      </c>
      <c r="AI87" s="25"/>
      <c r="AJ87" s="25"/>
      <c r="AK87" s="25"/>
      <c r="AL87" s="25" t="s">
        <v>299</v>
      </c>
      <c r="AM87" s="25" t="s">
        <v>299</v>
      </c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2">
        <f t="shared" si="1"/>
        <v>14</v>
      </c>
    </row>
    <row r="88" spans="1:103" x14ac:dyDescent="0.2">
      <c r="A88" s="25" t="s">
        <v>462</v>
      </c>
      <c r="B88" s="26" t="s">
        <v>463</v>
      </c>
      <c r="C88" s="25" t="s">
        <v>299</v>
      </c>
      <c r="D88" s="25"/>
      <c r="E88" s="25"/>
      <c r="F88" s="25" t="s">
        <v>299</v>
      </c>
      <c r="G88" s="25" t="s">
        <v>299</v>
      </c>
      <c r="H88" s="25" t="s">
        <v>299</v>
      </c>
      <c r="I88" s="25" t="s">
        <v>299</v>
      </c>
      <c r="J88" s="25" t="s">
        <v>299</v>
      </c>
      <c r="K88" s="25"/>
      <c r="L88" s="25" t="s">
        <v>299</v>
      </c>
      <c r="M88" s="25" t="s">
        <v>299</v>
      </c>
      <c r="N88" s="25" t="s">
        <v>299</v>
      </c>
      <c r="O88" s="25" t="s">
        <v>299</v>
      </c>
      <c r="P88" s="25" t="s">
        <v>299</v>
      </c>
      <c r="Q88" s="25" t="s">
        <v>299</v>
      </c>
      <c r="R88" s="25" t="s">
        <v>299</v>
      </c>
      <c r="S88" s="25"/>
      <c r="T88" s="25" t="s">
        <v>299</v>
      </c>
      <c r="U88" s="25" t="s">
        <v>299</v>
      </c>
      <c r="V88" s="25" t="s">
        <v>299</v>
      </c>
      <c r="W88" s="25" t="s">
        <v>299</v>
      </c>
      <c r="X88" s="25"/>
      <c r="Y88" s="25"/>
      <c r="Z88" s="25"/>
      <c r="AA88" s="25"/>
      <c r="AB88" s="25" t="s">
        <v>299</v>
      </c>
      <c r="AC88" s="25" t="s">
        <v>299</v>
      </c>
      <c r="AD88" s="25"/>
      <c r="AE88" s="25" t="s">
        <v>299</v>
      </c>
      <c r="AF88" s="25" t="s">
        <v>299</v>
      </c>
      <c r="AG88" s="25" t="s">
        <v>299</v>
      </c>
      <c r="AH88" s="25" t="s">
        <v>299</v>
      </c>
      <c r="AI88" s="25"/>
      <c r="AJ88" s="25"/>
      <c r="AK88" s="25" t="s">
        <v>299</v>
      </c>
      <c r="AL88" s="25" t="s">
        <v>299</v>
      </c>
      <c r="AM88" s="25" t="s">
        <v>299</v>
      </c>
      <c r="AN88" s="25"/>
      <c r="AO88" s="25" t="s">
        <v>299</v>
      </c>
      <c r="AP88" s="25"/>
      <c r="AQ88" s="25" t="s">
        <v>299</v>
      </c>
      <c r="AR88" s="25" t="s">
        <v>299</v>
      </c>
      <c r="AS88" s="25"/>
      <c r="AT88" s="25" t="s">
        <v>299</v>
      </c>
      <c r="AU88" s="25" t="s">
        <v>299</v>
      </c>
      <c r="AV88" s="25" t="s">
        <v>299</v>
      </c>
      <c r="AW88" s="25" t="s">
        <v>299</v>
      </c>
      <c r="AX88" s="25"/>
      <c r="AY88" s="25"/>
      <c r="AZ88" s="25" t="s">
        <v>299</v>
      </c>
      <c r="BA88" s="25"/>
      <c r="BB88" s="25"/>
      <c r="BC88" s="25" t="s">
        <v>299</v>
      </c>
      <c r="BD88" s="25" t="s">
        <v>299</v>
      </c>
      <c r="BE88" s="25" t="s">
        <v>299</v>
      </c>
      <c r="BF88" s="25" t="s">
        <v>299</v>
      </c>
      <c r="BG88" s="25" t="s">
        <v>299</v>
      </c>
      <c r="BH88" s="25"/>
      <c r="BI88" s="25"/>
      <c r="BJ88" s="25"/>
      <c r="BK88" s="25" t="s">
        <v>299</v>
      </c>
      <c r="BL88" s="25" t="s">
        <v>299</v>
      </c>
      <c r="BM88" s="25"/>
      <c r="BN88" s="25" t="s">
        <v>299</v>
      </c>
      <c r="BO88" s="25" t="s">
        <v>299</v>
      </c>
      <c r="BP88" s="25" t="s">
        <v>299</v>
      </c>
      <c r="BQ88" s="25" t="s">
        <v>299</v>
      </c>
      <c r="BR88" s="25"/>
      <c r="BS88" s="25" t="s">
        <v>299</v>
      </c>
      <c r="BT88" s="25" t="s">
        <v>299</v>
      </c>
      <c r="BU88" s="25" t="s">
        <v>299</v>
      </c>
      <c r="BV88" s="25"/>
      <c r="BW88" s="25"/>
      <c r="BX88" s="25" t="s">
        <v>299</v>
      </c>
      <c r="BY88" s="25"/>
      <c r="BZ88" s="25"/>
      <c r="CA88" s="25"/>
      <c r="CB88" s="25" t="s">
        <v>299</v>
      </c>
      <c r="CC88" s="25" t="s">
        <v>299</v>
      </c>
      <c r="CD88" s="25" t="s">
        <v>299</v>
      </c>
      <c r="CE88" s="25"/>
      <c r="CF88" s="25"/>
      <c r="CG88" s="25"/>
      <c r="CH88" s="25"/>
      <c r="CI88" s="25"/>
      <c r="CJ88" s="25" t="s">
        <v>299</v>
      </c>
      <c r="CK88" s="25" t="s">
        <v>299</v>
      </c>
      <c r="CL88" s="25"/>
      <c r="CM88" s="25" t="s">
        <v>299</v>
      </c>
      <c r="CN88" s="25"/>
      <c r="CO88" s="25"/>
      <c r="CP88" s="25"/>
      <c r="CQ88" s="25"/>
      <c r="CR88" s="25" t="s">
        <v>299</v>
      </c>
      <c r="CS88" s="25" t="s">
        <v>299</v>
      </c>
      <c r="CT88" s="25" t="s">
        <v>299</v>
      </c>
      <c r="CU88" s="25" t="s">
        <v>299</v>
      </c>
      <c r="CV88" s="25" t="s">
        <v>299</v>
      </c>
      <c r="CW88" s="25"/>
      <c r="CX88" s="25"/>
      <c r="CY88" s="22">
        <f t="shared" si="1"/>
        <v>59</v>
      </c>
    </row>
    <row r="89" spans="1:103" x14ac:dyDescent="0.2">
      <c r="A89" s="25" t="s">
        <v>464</v>
      </c>
      <c r="B89" s="26" t="s">
        <v>465</v>
      </c>
      <c r="C89" s="25" t="s">
        <v>299</v>
      </c>
      <c r="D89" s="25"/>
      <c r="E89" s="25"/>
      <c r="F89" s="25" t="s">
        <v>299</v>
      </c>
      <c r="G89" s="25" t="s">
        <v>299</v>
      </c>
      <c r="H89" s="25"/>
      <c r="I89" s="25" t="s">
        <v>299</v>
      </c>
      <c r="J89" s="25" t="s">
        <v>299</v>
      </c>
      <c r="K89" s="25"/>
      <c r="L89" s="25" t="s">
        <v>299</v>
      </c>
      <c r="M89" s="25" t="s">
        <v>299</v>
      </c>
      <c r="N89" s="25" t="s">
        <v>299</v>
      </c>
      <c r="O89" s="25" t="s">
        <v>299</v>
      </c>
      <c r="P89" s="25" t="s">
        <v>299</v>
      </c>
      <c r="Q89" s="25" t="s">
        <v>299</v>
      </c>
      <c r="R89" s="25" t="s">
        <v>299</v>
      </c>
      <c r="S89" s="25"/>
      <c r="T89" s="25" t="s">
        <v>299</v>
      </c>
      <c r="U89" s="25" t="s">
        <v>299</v>
      </c>
      <c r="V89" s="25" t="s">
        <v>299</v>
      </c>
      <c r="W89" s="25" t="s">
        <v>299</v>
      </c>
      <c r="X89" s="25" t="s">
        <v>299</v>
      </c>
      <c r="Y89" s="25"/>
      <c r="Z89" s="25"/>
      <c r="AA89" s="25" t="s">
        <v>299</v>
      </c>
      <c r="AB89" s="25" t="s">
        <v>299</v>
      </c>
      <c r="AC89" s="25" t="s">
        <v>299</v>
      </c>
      <c r="AD89" s="25"/>
      <c r="AE89" s="25" t="s">
        <v>299</v>
      </c>
      <c r="AF89" s="25" t="s">
        <v>299</v>
      </c>
      <c r="AG89" s="25" t="s">
        <v>299</v>
      </c>
      <c r="AH89" s="25" t="s">
        <v>299</v>
      </c>
      <c r="AI89" s="25" t="s">
        <v>299</v>
      </c>
      <c r="AJ89" s="25" t="s">
        <v>299</v>
      </c>
      <c r="AK89" s="25"/>
      <c r="AL89" s="25" t="s">
        <v>299</v>
      </c>
      <c r="AM89" s="25" t="s">
        <v>299</v>
      </c>
      <c r="AN89" s="25"/>
      <c r="AO89" s="25"/>
      <c r="AP89" s="25"/>
      <c r="AQ89" s="25" t="s">
        <v>299</v>
      </c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 t="s">
        <v>299</v>
      </c>
      <c r="BF89" s="25"/>
      <c r="BG89" s="25" t="s">
        <v>299</v>
      </c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2">
        <f t="shared" si="1"/>
        <v>30</v>
      </c>
    </row>
    <row r="90" spans="1:103" x14ac:dyDescent="0.2">
      <c r="A90" s="25" t="s">
        <v>466</v>
      </c>
      <c r="B90" s="26" t="s">
        <v>467</v>
      </c>
      <c r="C90" s="25" t="s">
        <v>299</v>
      </c>
      <c r="D90" s="25"/>
      <c r="E90" s="25"/>
      <c r="F90" s="25" t="s">
        <v>299</v>
      </c>
      <c r="G90" s="25" t="s">
        <v>299</v>
      </c>
      <c r="H90" s="25"/>
      <c r="I90" s="25" t="s">
        <v>299</v>
      </c>
      <c r="J90" s="25" t="s">
        <v>299</v>
      </c>
      <c r="K90" s="25"/>
      <c r="L90" s="25"/>
      <c r="M90" s="25"/>
      <c r="N90" s="25" t="s">
        <v>299</v>
      </c>
      <c r="O90" s="25" t="s">
        <v>299</v>
      </c>
      <c r="P90" s="25" t="s">
        <v>299</v>
      </c>
      <c r="Q90" s="25"/>
      <c r="R90" s="25" t="s">
        <v>299</v>
      </c>
      <c r="S90" s="25"/>
      <c r="T90" s="25" t="s">
        <v>299</v>
      </c>
      <c r="U90" s="25" t="s">
        <v>299</v>
      </c>
      <c r="V90" s="25" t="s">
        <v>299</v>
      </c>
      <c r="W90" s="25" t="s">
        <v>299</v>
      </c>
      <c r="X90" s="25" t="s">
        <v>299</v>
      </c>
      <c r="Y90" s="25" t="s">
        <v>299</v>
      </c>
      <c r="Z90" s="25" t="s">
        <v>299</v>
      </c>
      <c r="AA90" s="25" t="s">
        <v>299</v>
      </c>
      <c r="AB90" s="25" t="s">
        <v>299</v>
      </c>
      <c r="AC90" s="25" t="s">
        <v>299</v>
      </c>
      <c r="AD90" s="25"/>
      <c r="AE90" s="25" t="s">
        <v>299</v>
      </c>
      <c r="AF90" s="25" t="s">
        <v>299</v>
      </c>
      <c r="AG90" s="25" t="s">
        <v>299</v>
      </c>
      <c r="AH90" s="25" t="s">
        <v>299</v>
      </c>
      <c r="AI90" s="25"/>
      <c r="AJ90" s="25"/>
      <c r="AK90" s="25" t="s">
        <v>299</v>
      </c>
      <c r="AL90" s="25" t="s">
        <v>299</v>
      </c>
      <c r="AM90" s="25" t="s">
        <v>299</v>
      </c>
      <c r="AN90" s="25"/>
      <c r="AO90" s="25"/>
      <c r="AP90" s="25"/>
      <c r="AQ90" s="25" t="s">
        <v>299</v>
      </c>
      <c r="AR90" s="25" t="s">
        <v>299</v>
      </c>
      <c r="AS90" s="25" t="s">
        <v>299</v>
      </c>
      <c r="AT90" s="25" t="s">
        <v>299</v>
      </c>
      <c r="AU90" s="25" t="s">
        <v>299</v>
      </c>
      <c r="AV90" s="25" t="s">
        <v>299</v>
      </c>
      <c r="AW90" s="25"/>
      <c r="AX90" s="25" t="s">
        <v>299</v>
      </c>
      <c r="AY90" s="25" t="s">
        <v>299</v>
      </c>
      <c r="AZ90" s="25"/>
      <c r="BA90" s="25" t="s">
        <v>299</v>
      </c>
      <c r="BB90" s="25" t="s">
        <v>299</v>
      </c>
      <c r="BC90" s="25" t="s">
        <v>299</v>
      </c>
      <c r="BD90" s="25"/>
      <c r="BE90" s="25" t="s">
        <v>299</v>
      </c>
      <c r="BF90" s="25" t="s">
        <v>299</v>
      </c>
      <c r="BG90" s="25" t="s">
        <v>299</v>
      </c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 t="s">
        <v>299</v>
      </c>
      <c r="BW90" s="25" t="s">
        <v>299</v>
      </c>
      <c r="BX90" s="25" t="s">
        <v>299</v>
      </c>
      <c r="BY90" s="25" t="s">
        <v>299</v>
      </c>
      <c r="BZ90" s="25" t="s">
        <v>299</v>
      </c>
      <c r="CA90" s="25"/>
      <c r="CB90" s="25"/>
      <c r="CC90" s="25"/>
      <c r="CD90" s="25" t="s">
        <v>299</v>
      </c>
      <c r="CE90" s="25"/>
      <c r="CF90" s="25"/>
      <c r="CG90" s="25"/>
      <c r="CH90" s="25"/>
      <c r="CI90" s="25"/>
      <c r="CJ90" s="25" t="s">
        <v>299</v>
      </c>
      <c r="CK90" s="25"/>
      <c r="CL90" s="25"/>
      <c r="CM90" s="25"/>
      <c r="CN90" s="25"/>
      <c r="CO90" s="25"/>
      <c r="CP90" s="25"/>
      <c r="CQ90" s="25"/>
      <c r="CR90" s="25" t="s">
        <v>299</v>
      </c>
      <c r="CS90" s="25" t="s">
        <v>299</v>
      </c>
      <c r="CT90" s="25" t="s">
        <v>299</v>
      </c>
      <c r="CU90" s="25" t="s">
        <v>299</v>
      </c>
      <c r="CV90" s="25" t="s">
        <v>299</v>
      </c>
      <c r="CW90" s="25"/>
      <c r="CX90" s="25"/>
      <c r="CY90" s="22">
        <f t="shared" si="1"/>
        <v>51</v>
      </c>
    </row>
    <row r="91" spans="1:103" x14ac:dyDescent="0.2">
      <c r="A91" s="25" t="s">
        <v>468</v>
      </c>
      <c r="B91" s="26" t="s">
        <v>315</v>
      </c>
      <c r="C91" s="25" t="s">
        <v>299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 t="s">
        <v>299</v>
      </c>
      <c r="O91" s="25" t="s">
        <v>299</v>
      </c>
      <c r="P91" s="25"/>
      <c r="Q91" s="25"/>
      <c r="R91" s="25"/>
      <c r="S91" s="25"/>
      <c r="T91" s="25"/>
      <c r="U91" s="25"/>
      <c r="V91" s="25" t="s">
        <v>299</v>
      </c>
      <c r="W91" s="25" t="s">
        <v>299</v>
      </c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 t="s">
        <v>299</v>
      </c>
      <c r="AI91" s="25"/>
      <c r="AJ91" s="25"/>
      <c r="AK91" s="25"/>
      <c r="AL91" s="25" t="s">
        <v>299</v>
      </c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 t="s">
        <v>299</v>
      </c>
      <c r="BF91" s="25"/>
      <c r="BG91" s="25" t="s">
        <v>299</v>
      </c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2">
        <f t="shared" si="1"/>
        <v>8</v>
      </c>
    </row>
    <row r="92" spans="1:103" x14ac:dyDescent="0.2">
      <c r="A92" s="25" t="s">
        <v>469</v>
      </c>
      <c r="B92" s="26" t="s">
        <v>470</v>
      </c>
      <c r="C92" s="25" t="s">
        <v>299</v>
      </c>
      <c r="D92" s="25"/>
      <c r="E92" s="25"/>
      <c r="F92" s="25"/>
      <c r="G92" s="25"/>
      <c r="H92" s="25"/>
      <c r="I92" s="25" t="s">
        <v>299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 t="s">
        <v>299</v>
      </c>
      <c r="U92" s="25"/>
      <c r="V92" s="25"/>
      <c r="W92" s="25"/>
      <c r="X92" s="25"/>
      <c r="Y92" s="25"/>
      <c r="Z92" s="25"/>
      <c r="AA92" s="25"/>
      <c r="AB92" s="25"/>
      <c r="AC92" s="25" t="s">
        <v>299</v>
      </c>
      <c r="AD92" s="25"/>
      <c r="AE92" s="25" t="s">
        <v>299</v>
      </c>
      <c r="AF92" s="25"/>
      <c r="AG92" s="25" t="s">
        <v>299</v>
      </c>
      <c r="AH92" s="25" t="s">
        <v>299</v>
      </c>
      <c r="AI92" s="25"/>
      <c r="AJ92" s="25"/>
      <c r="AK92" s="25"/>
      <c r="AL92" s="25" t="s">
        <v>299</v>
      </c>
      <c r="AM92" s="25" t="s">
        <v>299</v>
      </c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 t="s">
        <v>299</v>
      </c>
      <c r="BF92" s="25" t="s">
        <v>299</v>
      </c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2">
        <f t="shared" si="1"/>
        <v>10</v>
      </c>
    </row>
    <row r="93" spans="1:103" x14ac:dyDescent="0.2">
      <c r="A93" s="25" t="s">
        <v>471</v>
      </c>
      <c r="B93" s="26" t="s">
        <v>472</v>
      </c>
      <c r="C93" s="25" t="s">
        <v>299</v>
      </c>
      <c r="D93" s="25" t="s">
        <v>299</v>
      </c>
      <c r="E93" s="25" t="s">
        <v>299</v>
      </c>
      <c r="F93" s="25" t="s">
        <v>299</v>
      </c>
      <c r="G93" s="25" t="s">
        <v>299</v>
      </c>
      <c r="H93" s="25" t="s">
        <v>299</v>
      </c>
      <c r="I93" s="25" t="s">
        <v>299</v>
      </c>
      <c r="J93" s="25" t="s">
        <v>299</v>
      </c>
      <c r="K93" s="25" t="s">
        <v>299</v>
      </c>
      <c r="L93" s="25" t="s">
        <v>299</v>
      </c>
      <c r="M93" s="25" t="s">
        <v>299</v>
      </c>
      <c r="N93" s="25" t="s">
        <v>299</v>
      </c>
      <c r="O93" s="25" t="s">
        <v>299</v>
      </c>
      <c r="P93" s="25" t="s">
        <v>299</v>
      </c>
      <c r="Q93" s="25" t="s">
        <v>299</v>
      </c>
      <c r="R93" s="25" t="s">
        <v>299</v>
      </c>
      <c r="S93" s="25"/>
      <c r="T93" s="25" t="s">
        <v>299</v>
      </c>
      <c r="U93" s="25" t="s">
        <v>299</v>
      </c>
      <c r="V93" s="25" t="s">
        <v>299</v>
      </c>
      <c r="W93" s="25" t="s">
        <v>299</v>
      </c>
      <c r="X93" s="25" t="s">
        <v>299</v>
      </c>
      <c r="Y93" s="25"/>
      <c r="Z93" s="25"/>
      <c r="AA93" s="25" t="s">
        <v>299</v>
      </c>
      <c r="AB93" s="25" t="s">
        <v>299</v>
      </c>
      <c r="AC93" s="25" t="s">
        <v>299</v>
      </c>
      <c r="AD93" s="25" t="s">
        <v>299</v>
      </c>
      <c r="AE93" s="25" t="s">
        <v>299</v>
      </c>
      <c r="AF93" s="25" t="s">
        <v>299</v>
      </c>
      <c r="AG93" s="25" t="s">
        <v>299</v>
      </c>
      <c r="AH93" s="25" t="s">
        <v>299</v>
      </c>
      <c r="AI93" s="25" t="s">
        <v>299</v>
      </c>
      <c r="AJ93" s="25" t="s">
        <v>299</v>
      </c>
      <c r="AK93" s="25" t="s">
        <v>299</v>
      </c>
      <c r="AL93" s="25" t="s">
        <v>299</v>
      </c>
      <c r="AM93" s="25" t="s">
        <v>299</v>
      </c>
      <c r="AN93" s="25" t="s">
        <v>299</v>
      </c>
      <c r="AO93" s="25"/>
      <c r="AP93" s="25"/>
      <c r="AQ93" s="25" t="s">
        <v>299</v>
      </c>
      <c r="AR93" s="25"/>
      <c r="AS93" s="25"/>
      <c r="AT93" s="25" t="s">
        <v>299</v>
      </c>
      <c r="AU93" s="25" t="s">
        <v>299</v>
      </c>
      <c r="AV93" s="25" t="s">
        <v>299</v>
      </c>
      <c r="AW93" s="25" t="s">
        <v>299</v>
      </c>
      <c r="AX93" s="25"/>
      <c r="AY93" s="25"/>
      <c r="AZ93" s="25"/>
      <c r="BA93" s="25" t="s">
        <v>299</v>
      </c>
      <c r="BB93" s="25" t="s">
        <v>299</v>
      </c>
      <c r="BC93" s="25" t="s">
        <v>299</v>
      </c>
      <c r="BD93" s="25"/>
      <c r="BE93" s="25" t="s">
        <v>299</v>
      </c>
      <c r="BF93" s="25" t="s">
        <v>299</v>
      </c>
      <c r="BG93" s="25" t="s">
        <v>299</v>
      </c>
      <c r="BH93" s="25"/>
      <c r="BI93" s="25"/>
      <c r="BJ93" s="25"/>
      <c r="BK93" s="25" t="s">
        <v>299</v>
      </c>
      <c r="BL93" s="25" t="s">
        <v>299</v>
      </c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 t="s">
        <v>299</v>
      </c>
      <c r="BX93" s="25" t="s">
        <v>299</v>
      </c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2">
        <f t="shared" si="1"/>
        <v>49</v>
      </c>
    </row>
    <row r="94" spans="1:103" x14ac:dyDescent="0.2">
      <c r="A94" s="25" t="s">
        <v>473</v>
      </c>
      <c r="B94" s="26" t="s">
        <v>474</v>
      </c>
      <c r="C94" s="25" t="s">
        <v>299</v>
      </c>
      <c r="D94" s="25"/>
      <c r="E94" s="25" t="s">
        <v>299</v>
      </c>
      <c r="F94" s="25" t="s">
        <v>299</v>
      </c>
      <c r="G94" s="25"/>
      <c r="H94" s="25"/>
      <c r="I94" s="25" t="s">
        <v>299</v>
      </c>
      <c r="J94" s="25" t="s">
        <v>299</v>
      </c>
      <c r="K94" s="25"/>
      <c r="L94" s="25" t="s">
        <v>299</v>
      </c>
      <c r="M94" s="25" t="s">
        <v>299</v>
      </c>
      <c r="N94" s="25"/>
      <c r="O94" s="25" t="s">
        <v>299</v>
      </c>
      <c r="P94" s="25" t="s">
        <v>299</v>
      </c>
      <c r="Q94" s="25" t="s">
        <v>299</v>
      </c>
      <c r="R94" s="25" t="s">
        <v>299</v>
      </c>
      <c r="S94" s="25"/>
      <c r="T94" s="25" t="s">
        <v>299</v>
      </c>
      <c r="U94" s="25" t="s">
        <v>299</v>
      </c>
      <c r="V94" s="25" t="s">
        <v>299</v>
      </c>
      <c r="W94" s="25" t="s">
        <v>299</v>
      </c>
      <c r="X94" s="25" t="s">
        <v>299</v>
      </c>
      <c r="Y94" s="25"/>
      <c r="Z94" s="25"/>
      <c r="AA94" s="25" t="s">
        <v>299</v>
      </c>
      <c r="AB94" s="25" t="s">
        <v>299</v>
      </c>
      <c r="AC94" s="25" t="s">
        <v>299</v>
      </c>
      <c r="AD94" s="25"/>
      <c r="AE94" s="25" t="s">
        <v>299</v>
      </c>
      <c r="AF94" s="25"/>
      <c r="AG94" s="25" t="s">
        <v>299</v>
      </c>
      <c r="AH94" s="25" t="s">
        <v>299</v>
      </c>
      <c r="AI94" s="25"/>
      <c r="AJ94" s="25"/>
      <c r="AK94" s="25"/>
      <c r="AL94" s="25" t="s">
        <v>299</v>
      </c>
      <c r="AM94" s="25" t="s">
        <v>299</v>
      </c>
      <c r="AN94" s="25"/>
      <c r="AO94" s="25"/>
      <c r="AP94" s="25"/>
      <c r="AQ94" s="25" t="s">
        <v>299</v>
      </c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299</v>
      </c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2">
        <f t="shared" si="1"/>
        <v>25</v>
      </c>
    </row>
    <row r="95" spans="1:103" x14ac:dyDescent="0.2">
      <c r="A95" s="25" t="s">
        <v>475</v>
      </c>
      <c r="B95" s="26" t="s">
        <v>476</v>
      </c>
      <c r="C95" s="25" t="s">
        <v>299</v>
      </c>
      <c r="D95" s="25"/>
      <c r="E95" s="25"/>
      <c r="F95" s="25" t="s">
        <v>299</v>
      </c>
      <c r="G95" s="25" t="s">
        <v>299</v>
      </c>
      <c r="H95" s="25"/>
      <c r="I95" s="25" t="s">
        <v>299</v>
      </c>
      <c r="J95" s="25" t="s">
        <v>299</v>
      </c>
      <c r="K95" s="25"/>
      <c r="L95" s="25" t="s">
        <v>299</v>
      </c>
      <c r="M95" s="25" t="s">
        <v>299</v>
      </c>
      <c r="N95" s="25" t="s">
        <v>299</v>
      </c>
      <c r="O95" s="25" t="s">
        <v>299</v>
      </c>
      <c r="P95" s="25" t="s">
        <v>299</v>
      </c>
      <c r="Q95" s="25"/>
      <c r="R95" s="25" t="s">
        <v>299</v>
      </c>
      <c r="S95" s="25"/>
      <c r="T95" s="25" t="s">
        <v>299</v>
      </c>
      <c r="U95" s="25" t="s">
        <v>299</v>
      </c>
      <c r="V95" s="25" t="s">
        <v>299</v>
      </c>
      <c r="W95" s="25" t="s">
        <v>299</v>
      </c>
      <c r="X95" s="25" t="s">
        <v>299</v>
      </c>
      <c r="Y95" s="25" t="s">
        <v>299</v>
      </c>
      <c r="Z95" s="25" t="s">
        <v>299</v>
      </c>
      <c r="AA95" s="25" t="s">
        <v>299</v>
      </c>
      <c r="AB95" s="25" t="s">
        <v>299</v>
      </c>
      <c r="AC95" s="25" t="s">
        <v>299</v>
      </c>
      <c r="AD95" s="25"/>
      <c r="AE95" s="25" t="s">
        <v>299</v>
      </c>
      <c r="AF95" s="25" t="s">
        <v>299</v>
      </c>
      <c r="AG95" s="25"/>
      <c r="AH95" s="25" t="s">
        <v>299</v>
      </c>
      <c r="AI95" s="25"/>
      <c r="AJ95" s="25"/>
      <c r="AK95" s="25" t="s">
        <v>299</v>
      </c>
      <c r="AL95" s="25" t="s">
        <v>299</v>
      </c>
      <c r="AM95" s="25" t="s">
        <v>299</v>
      </c>
      <c r="AN95" s="25"/>
      <c r="AO95" s="25"/>
      <c r="AP95" s="25"/>
      <c r="AQ95" s="25" t="s">
        <v>299</v>
      </c>
      <c r="AR95" s="25" t="s">
        <v>299</v>
      </c>
      <c r="AS95" s="25" t="s">
        <v>299</v>
      </c>
      <c r="AT95" s="25" t="s">
        <v>299</v>
      </c>
      <c r="AU95" s="25" t="s">
        <v>299</v>
      </c>
      <c r="AV95" s="25" t="s">
        <v>299</v>
      </c>
      <c r="AW95" s="25"/>
      <c r="AX95" s="25" t="s">
        <v>299</v>
      </c>
      <c r="AY95" s="25" t="s">
        <v>299</v>
      </c>
      <c r="AZ95" s="25"/>
      <c r="BA95" s="25" t="s">
        <v>299</v>
      </c>
      <c r="BB95" s="25" t="s">
        <v>299</v>
      </c>
      <c r="BC95" s="25" t="s">
        <v>299</v>
      </c>
      <c r="BD95" s="25"/>
      <c r="BE95" s="25" t="s">
        <v>299</v>
      </c>
      <c r="BF95" s="25" t="s">
        <v>299</v>
      </c>
      <c r="BG95" s="25" t="s">
        <v>299</v>
      </c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 t="s">
        <v>299</v>
      </c>
      <c r="BW95" s="25" t="s">
        <v>299</v>
      </c>
      <c r="BX95" s="25" t="s">
        <v>299</v>
      </c>
      <c r="BY95" s="25" t="s">
        <v>299</v>
      </c>
      <c r="BZ95" s="25" t="s">
        <v>299</v>
      </c>
      <c r="CA95" s="25"/>
      <c r="CB95" s="25"/>
      <c r="CC95" s="25"/>
      <c r="CD95" s="25" t="s">
        <v>299</v>
      </c>
      <c r="CE95" s="25"/>
      <c r="CF95" s="25"/>
      <c r="CG95" s="25"/>
      <c r="CH95" s="25"/>
      <c r="CI95" s="25"/>
      <c r="CJ95" s="25" t="s">
        <v>299</v>
      </c>
      <c r="CK95" s="25"/>
      <c r="CL95" s="25"/>
      <c r="CM95" s="25"/>
      <c r="CN95" s="25"/>
      <c r="CO95" s="25"/>
      <c r="CP95" s="25"/>
      <c r="CQ95" s="25"/>
      <c r="CR95" s="25" t="s">
        <v>299</v>
      </c>
      <c r="CS95" s="25" t="s">
        <v>299</v>
      </c>
      <c r="CT95" s="25" t="s">
        <v>299</v>
      </c>
      <c r="CU95" s="25" t="s">
        <v>299</v>
      </c>
      <c r="CV95" s="25" t="s">
        <v>299</v>
      </c>
      <c r="CW95" s="25"/>
      <c r="CX95" s="25"/>
      <c r="CY95" s="22">
        <f t="shared" si="1"/>
        <v>52</v>
      </c>
    </row>
    <row r="96" spans="1:103" x14ac:dyDescent="0.2">
      <c r="A96" s="25" t="s">
        <v>477</v>
      </c>
      <c r="B96" s="26" t="s">
        <v>478</v>
      </c>
      <c r="C96" s="25" t="s">
        <v>299</v>
      </c>
      <c r="D96" s="25"/>
      <c r="E96" s="25"/>
      <c r="F96" s="25"/>
      <c r="G96" s="25" t="s">
        <v>299</v>
      </c>
      <c r="H96" s="25"/>
      <c r="I96" s="25" t="s">
        <v>299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 t="s">
        <v>299</v>
      </c>
      <c r="U96" s="25"/>
      <c r="V96" s="25" t="s">
        <v>299</v>
      </c>
      <c r="W96" s="25" t="s">
        <v>299</v>
      </c>
      <c r="X96" s="25"/>
      <c r="Y96" s="25"/>
      <c r="Z96" s="25"/>
      <c r="AA96" s="25"/>
      <c r="AB96" s="25"/>
      <c r="AC96" s="25" t="s">
        <v>299</v>
      </c>
      <c r="AD96" s="25"/>
      <c r="AE96" s="25" t="s">
        <v>299</v>
      </c>
      <c r="AF96" s="25"/>
      <c r="AG96" s="25"/>
      <c r="AH96" s="25"/>
      <c r="AI96" s="25"/>
      <c r="AJ96" s="25"/>
      <c r="AK96" s="25"/>
      <c r="AL96" s="25" t="s">
        <v>299</v>
      </c>
      <c r="AM96" s="25" t="s">
        <v>299</v>
      </c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 t="s">
        <v>299</v>
      </c>
      <c r="BF96" s="25"/>
      <c r="BG96" s="25" t="s">
        <v>299</v>
      </c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2">
        <f t="shared" si="1"/>
        <v>11</v>
      </c>
    </row>
    <row r="97" spans="1:103" x14ac:dyDescent="0.2">
      <c r="A97" s="25" t="s">
        <v>479</v>
      </c>
      <c r="B97" s="26" t="s">
        <v>480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2">
        <f t="shared" si="1"/>
        <v>0</v>
      </c>
    </row>
    <row r="98" spans="1:103" x14ac:dyDescent="0.2">
      <c r="A98" s="25" t="s">
        <v>481</v>
      </c>
      <c r="B98" s="26" t="s">
        <v>482</v>
      </c>
      <c r="C98" s="25" t="s">
        <v>299</v>
      </c>
      <c r="D98" s="25" t="s">
        <v>299</v>
      </c>
      <c r="E98" s="25" t="s">
        <v>299</v>
      </c>
      <c r="F98" s="25" t="s">
        <v>299</v>
      </c>
      <c r="G98" s="25" t="s">
        <v>299</v>
      </c>
      <c r="H98" s="25" t="s">
        <v>299</v>
      </c>
      <c r="I98" s="25" t="s">
        <v>299</v>
      </c>
      <c r="J98" s="25" t="s">
        <v>299</v>
      </c>
      <c r="K98" s="25" t="s">
        <v>299</v>
      </c>
      <c r="L98" s="25" t="s">
        <v>299</v>
      </c>
      <c r="M98" s="25" t="s">
        <v>299</v>
      </c>
      <c r="N98" s="25" t="s">
        <v>299</v>
      </c>
      <c r="O98" s="25" t="s">
        <v>299</v>
      </c>
      <c r="P98" s="25" t="s">
        <v>299</v>
      </c>
      <c r="Q98" s="25"/>
      <c r="R98" s="25" t="s">
        <v>299</v>
      </c>
      <c r="S98" s="25"/>
      <c r="T98" s="25" t="s">
        <v>299</v>
      </c>
      <c r="U98" s="25" t="s">
        <v>299</v>
      </c>
      <c r="V98" s="25" t="s">
        <v>299</v>
      </c>
      <c r="W98" s="25" t="s">
        <v>299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 t="s">
        <v>299</v>
      </c>
      <c r="AL98" s="25"/>
      <c r="AM98" s="25"/>
      <c r="AN98" s="25"/>
      <c r="AO98" s="25"/>
      <c r="AP98" s="25"/>
      <c r="AQ98" s="25" t="s">
        <v>299</v>
      </c>
      <c r="AR98" s="25" t="s">
        <v>299</v>
      </c>
      <c r="AS98" s="25" t="s">
        <v>299</v>
      </c>
      <c r="AT98" s="25" t="s">
        <v>299</v>
      </c>
      <c r="AU98" s="25" t="s">
        <v>299</v>
      </c>
      <c r="AV98" s="25" t="s">
        <v>299</v>
      </c>
      <c r="AW98" s="25"/>
      <c r="AX98" s="25" t="s">
        <v>299</v>
      </c>
      <c r="AY98" s="25" t="s">
        <v>299</v>
      </c>
      <c r="AZ98" s="25"/>
      <c r="BA98" s="25" t="s">
        <v>299</v>
      </c>
      <c r="BB98" s="25" t="s">
        <v>299</v>
      </c>
      <c r="BC98" s="25" t="s">
        <v>299</v>
      </c>
      <c r="BD98" s="25"/>
      <c r="BE98" s="25" t="s">
        <v>299</v>
      </c>
      <c r="BF98" s="25" t="s">
        <v>299</v>
      </c>
      <c r="BG98" s="25" t="s">
        <v>299</v>
      </c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 t="s">
        <v>299</v>
      </c>
      <c r="BW98" s="25" t="s">
        <v>299</v>
      </c>
      <c r="BX98" s="25" t="s">
        <v>299</v>
      </c>
      <c r="BY98" s="25" t="s">
        <v>299</v>
      </c>
      <c r="BZ98" s="25" t="s">
        <v>299</v>
      </c>
      <c r="CA98" s="25"/>
      <c r="CB98" s="25"/>
      <c r="CC98" s="25"/>
      <c r="CD98" s="25" t="s">
        <v>299</v>
      </c>
      <c r="CE98" s="25"/>
      <c r="CF98" s="25"/>
      <c r="CG98" s="25"/>
      <c r="CH98" s="25"/>
      <c r="CI98" s="25"/>
      <c r="CJ98" s="25" t="s">
        <v>299</v>
      </c>
      <c r="CK98" s="25"/>
      <c r="CL98" s="25"/>
      <c r="CM98" s="25"/>
      <c r="CN98" s="25"/>
      <c r="CO98" s="25"/>
      <c r="CP98" s="25"/>
      <c r="CQ98" s="25"/>
      <c r="CR98" s="25" t="s">
        <v>299</v>
      </c>
      <c r="CS98" s="25" t="s">
        <v>299</v>
      </c>
      <c r="CT98" s="25" t="s">
        <v>299</v>
      </c>
      <c r="CU98" s="25" t="s">
        <v>299</v>
      </c>
      <c r="CV98" s="25" t="s">
        <v>299</v>
      </c>
      <c r="CW98" s="25"/>
      <c r="CX98" s="25"/>
      <c r="CY98" s="22">
        <f t="shared" si="1"/>
        <v>45</v>
      </c>
    </row>
    <row r="99" spans="1:103" x14ac:dyDescent="0.2">
      <c r="A99" s="25" t="s">
        <v>483</v>
      </c>
      <c r="B99" s="26" t="s">
        <v>484</v>
      </c>
      <c r="C99" s="25" t="s">
        <v>299</v>
      </c>
      <c r="D99" s="25"/>
      <c r="E99" s="25"/>
      <c r="F99" s="25" t="s">
        <v>299</v>
      </c>
      <c r="G99" s="25"/>
      <c r="H99" s="25"/>
      <c r="I99" s="25" t="s">
        <v>299</v>
      </c>
      <c r="J99" s="25" t="s">
        <v>299</v>
      </c>
      <c r="K99" s="25"/>
      <c r="L99" s="25" t="s">
        <v>299</v>
      </c>
      <c r="M99" s="25"/>
      <c r="N99" s="25" t="s">
        <v>299</v>
      </c>
      <c r="O99" s="25" t="s">
        <v>299</v>
      </c>
      <c r="P99" s="25" t="s">
        <v>299</v>
      </c>
      <c r="Q99" s="25" t="s">
        <v>299</v>
      </c>
      <c r="R99" s="25" t="s">
        <v>299</v>
      </c>
      <c r="S99" s="25"/>
      <c r="T99" s="25" t="s">
        <v>299</v>
      </c>
      <c r="U99" s="25" t="s">
        <v>299</v>
      </c>
      <c r="V99" s="25" t="s">
        <v>299</v>
      </c>
      <c r="W99" s="25" t="s">
        <v>299</v>
      </c>
      <c r="X99" s="25"/>
      <c r="Y99" s="25"/>
      <c r="Z99" s="25"/>
      <c r="AA99" s="25"/>
      <c r="AB99" s="25" t="s">
        <v>299</v>
      </c>
      <c r="AC99" s="25" t="s">
        <v>299</v>
      </c>
      <c r="AD99" s="25"/>
      <c r="AE99" s="25" t="s">
        <v>299</v>
      </c>
      <c r="AF99" s="25" t="s">
        <v>299</v>
      </c>
      <c r="AG99" s="25" t="s">
        <v>299</v>
      </c>
      <c r="AH99" s="25" t="s">
        <v>299</v>
      </c>
      <c r="AI99" s="25"/>
      <c r="AJ99" s="25"/>
      <c r="AK99" s="25"/>
      <c r="AL99" s="25" t="s">
        <v>299</v>
      </c>
      <c r="AM99" s="25" t="s">
        <v>299</v>
      </c>
      <c r="AN99" s="25"/>
      <c r="AO99" s="25"/>
      <c r="AP99" s="25"/>
      <c r="AQ99" s="25" t="s">
        <v>299</v>
      </c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 t="s">
        <v>299</v>
      </c>
      <c r="BF99" s="25" t="s">
        <v>299</v>
      </c>
      <c r="BG99" s="25" t="s">
        <v>299</v>
      </c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2">
        <f t="shared" si="1"/>
        <v>25</v>
      </c>
    </row>
    <row r="100" spans="1:103" x14ac:dyDescent="0.2">
      <c r="A100" s="25" t="s">
        <v>485</v>
      </c>
      <c r="B100" s="26" t="s">
        <v>96</v>
      </c>
      <c r="C100" s="25" t="s">
        <v>299</v>
      </c>
      <c r="D100" s="25"/>
      <c r="E100" s="25" t="s">
        <v>299</v>
      </c>
      <c r="F100" s="25" t="s">
        <v>299</v>
      </c>
      <c r="G100" s="25"/>
      <c r="H100" s="25"/>
      <c r="I100" s="25" t="s">
        <v>299</v>
      </c>
      <c r="J100" s="25" t="s">
        <v>299</v>
      </c>
      <c r="K100" s="25"/>
      <c r="L100" s="25" t="s">
        <v>299</v>
      </c>
      <c r="M100" s="25"/>
      <c r="N100" s="25"/>
      <c r="O100" s="25"/>
      <c r="P100" s="25" t="s">
        <v>299</v>
      </c>
      <c r="Q100" s="25" t="s">
        <v>299</v>
      </c>
      <c r="R100" s="25" t="s">
        <v>299</v>
      </c>
      <c r="S100" s="25"/>
      <c r="T100" s="25" t="s">
        <v>299</v>
      </c>
      <c r="U100" s="25" t="s">
        <v>299</v>
      </c>
      <c r="V100" s="25" t="s">
        <v>299</v>
      </c>
      <c r="W100" s="25" t="s">
        <v>299</v>
      </c>
      <c r="X100" s="25" t="s">
        <v>299</v>
      </c>
      <c r="Y100" s="25"/>
      <c r="Z100" s="25"/>
      <c r="AA100" s="25" t="s">
        <v>299</v>
      </c>
      <c r="AB100" s="25" t="s">
        <v>299</v>
      </c>
      <c r="AC100" s="25" t="s">
        <v>299</v>
      </c>
      <c r="AD100" s="25"/>
      <c r="AE100" s="25" t="s">
        <v>299</v>
      </c>
      <c r="AF100" s="25" t="s">
        <v>299</v>
      </c>
      <c r="AG100" s="25"/>
      <c r="AH100" s="25"/>
      <c r="AI100" s="25"/>
      <c r="AJ100" s="25"/>
      <c r="AK100" s="25" t="s">
        <v>299</v>
      </c>
      <c r="AL100" s="25" t="s">
        <v>299</v>
      </c>
      <c r="AM100" s="25" t="s">
        <v>299</v>
      </c>
      <c r="AN100" s="25" t="s">
        <v>299</v>
      </c>
      <c r="AO100" s="25"/>
      <c r="AP100" s="25"/>
      <c r="AQ100" s="25" t="s">
        <v>299</v>
      </c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 t="s">
        <v>299</v>
      </c>
      <c r="BC100" s="25"/>
      <c r="BD100" s="25"/>
      <c r="BE100" s="25" t="s">
        <v>299</v>
      </c>
      <c r="BF100" s="25" t="s">
        <v>299</v>
      </c>
      <c r="BG100" s="25" t="s">
        <v>299</v>
      </c>
      <c r="BH100" s="25"/>
      <c r="BI100" s="25"/>
      <c r="BJ100" s="25"/>
      <c r="BK100" s="25" t="s">
        <v>299</v>
      </c>
      <c r="BL100" s="25" t="s">
        <v>299</v>
      </c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 t="s">
        <v>299</v>
      </c>
      <c r="BX100" s="25" t="s">
        <v>299</v>
      </c>
      <c r="BY100" s="25"/>
      <c r="BZ100" s="25"/>
      <c r="CA100" s="25"/>
      <c r="CB100" s="25"/>
      <c r="CC100" s="25"/>
      <c r="CD100" s="25"/>
      <c r="CE100" s="25" t="s">
        <v>299</v>
      </c>
      <c r="CF100" s="25" t="s">
        <v>299</v>
      </c>
      <c r="CG100" s="25" t="s">
        <v>299</v>
      </c>
      <c r="CH100" s="25" t="s">
        <v>299</v>
      </c>
      <c r="CI100" s="25" t="s">
        <v>299</v>
      </c>
      <c r="CJ100" s="25" t="s">
        <v>299</v>
      </c>
      <c r="CK100" s="25"/>
      <c r="CL100" s="25" t="s">
        <v>299</v>
      </c>
      <c r="CM100" s="25" t="s">
        <v>299</v>
      </c>
      <c r="CN100" s="25" t="s">
        <v>299</v>
      </c>
      <c r="CO100" s="25" t="s">
        <v>299</v>
      </c>
      <c r="CP100" s="25" t="s">
        <v>299</v>
      </c>
      <c r="CQ100" s="25" t="s">
        <v>299</v>
      </c>
      <c r="CR100" s="25" t="s">
        <v>299</v>
      </c>
      <c r="CS100" s="25" t="s">
        <v>299</v>
      </c>
      <c r="CT100" s="25" t="s">
        <v>299</v>
      </c>
      <c r="CU100" s="25" t="s">
        <v>299</v>
      </c>
      <c r="CV100" s="25" t="s">
        <v>299</v>
      </c>
      <c r="CW100" s="25"/>
      <c r="CX100" s="25"/>
      <c r="CY100" s="22">
        <f t="shared" si="1"/>
        <v>48</v>
      </c>
    </row>
    <row r="101" spans="1:103" x14ac:dyDescent="0.2">
      <c r="A101" s="25" t="s">
        <v>486</v>
      </c>
      <c r="B101" s="26" t="s">
        <v>487</v>
      </c>
      <c r="C101" s="25" t="s">
        <v>299</v>
      </c>
      <c r="D101" s="25"/>
      <c r="E101" s="25" t="s">
        <v>299</v>
      </c>
      <c r="F101" s="25"/>
      <c r="G101" s="25"/>
      <c r="H101" s="25"/>
      <c r="I101" s="25" t="s">
        <v>299</v>
      </c>
      <c r="J101" s="25" t="s">
        <v>299</v>
      </c>
      <c r="K101" s="25"/>
      <c r="L101" s="25" t="s">
        <v>299</v>
      </c>
      <c r="M101" s="25"/>
      <c r="N101" s="25" t="s">
        <v>299</v>
      </c>
      <c r="O101" s="25" t="s">
        <v>299</v>
      </c>
      <c r="P101" s="25" t="s">
        <v>299</v>
      </c>
      <c r="Q101" s="25" t="s">
        <v>299</v>
      </c>
      <c r="R101" s="25" t="s">
        <v>299</v>
      </c>
      <c r="S101" s="25"/>
      <c r="T101" s="25" t="s">
        <v>299</v>
      </c>
      <c r="U101" s="25"/>
      <c r="V101" s="25" t="s">
        <v>299</v>
      </c>
      <c r="W101" s="25" t="s">
        <v>299</v>
      </c>
      <c r="X101" s="25"/>
      <c r="Y101" s="25"/>
      <c r="Z101" s="25"/>
      <c r="AA101" s="25"/>
      <c r="AB101" s="25" t="s">
        <v>299</v>
      </c>
      <c r="AC101" s="25" t="s">
        <v>299</v>
      </c>
      <c r="AD101" s="25"/>
      <c r="AE101" s="25" t="s">
        <v>299</v>
      </c>
      <c r="AF101" s="25" t="s">
        <v>299</v>
      </c>
      <c r="AG101" s="25" t="s">
        <v>299</v>
      </c>
      <c r="AH101" s="25" t="s">
        <v>299</v>
      </c>
      <c r="AI101" s="25"/>
      <c r="AJ101" s="25"/>
      <c r="AK101" s="25"/>
      <c r="AL101" s="25" t="s">
        <v>299</v>
      </c>
      <c r="AM101" s="25" t="s">
        <v>299</v>
      </c>
      <c r="AN101" s="25"/>
      <c r="AO101" s="25"/>
      <c r="AP101" s="25"/>
      <c r="AQ101" s="25" t="s">
        <v>299</v>
      </c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 t="s">
        <v>299</v>
      </c>
      <c r="BF101" s="25" t="s">
        <v>299</v>
      </c>
      <c r="BG101" s="25" t="s">
        <v>299</v>
      </c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2">
        <f t="shared" si="1"/>
        <v>24</v>
      </c>
    </row>
    <row r="102" spans="1:103" x14ac:dyDescent="0.2">
      <c r="A102" s="25" t="s">
        <v>488</v>
      </c>
      <c r="B102" s="26" t="s">
        <v>489</v>
      </c>
      <c r="C102" s="25" t="s">
        <v>299</v>
      </c>
      <c r="D102" s="25"/>
      <c r="E102" s="25"/>
      <c r="F102" s="25" t="s">
        <v>299</v>
      </c>
      <c r="G102" s="25"/>
      <c r="H102" s="25"/>
      <c r="I102" s="25" t="s">
        <v>299</v>
      </c>
      <c r="J102" s="25" t="s">
        <v>299</v>
      </c>
      <c r="K102" s="25"/>
      <c r="L102" s="25"/>
      <c r="M102" s="25" t="s">
        <v>299</v>
      </c>
      <c r="N102" s="25" t="s">
        <v>299</v>
      </c>
      <c r="O102" s="25" t="s">
        <v>299</v>
      </c>
      <c r="P102" s="25" t="s">
        <v>299</v>
      </c>
      <c r="Q102" s="25" t="s">
        <v>299</v>
      </c>
      <c r="R102" s="25" t="s">
        <v>299</v>
      </c>
      <c r="S102" s="25" t="s">
        <v>299</v>
      </c>
      <c r="T102" s="25" t="s">
        <v>299</v>
      </c>
      <c r="U102" s="25" t="s">
        <v>299</v>
      </c>
      <c r="V102" s="25" t="s">
        <v>299</v>
      </c>
      <c r="W102" s="25" t="s">
        <v>299</v>
      </c>
      <c r="X102" s="25" t="s">
        <v>299</v>
      </c>
      <c r="Y102" s="25" t="s">
        <v>299</v>
      </c>
      <c r="Z102" s="25" t="s">
        <v>299</v>
      </c>
      <c r="AA102" s="25" t="s">
        <v>299</v>
      </c>
      <c r="AB102" s="25" t="s">
        <v>299</v>
      </c>
      <c r="AC102" s="25" t="s">
        <v>299</v>
      </c>
      <c r="AD102" s="25"/>
      <c r="AE102" s="25" t="s">
        <v>299</v>
      </c>
      <c r="AF102" s="25" t="s">
        <v>299</v>
      </c>
      <c r="AG102" s="25" t="s">
        <v>299</v>
      </c>
      <c r="AH102" s="25" t="s">
        <v>299</v>
      </c>
      <c r="AI102" s="25" t="s">
        <v>299</v>
      </c>
      <c r="AJ102" s="25" t="s">
        <v>299</v>
      </c>
      <c r="AK102" s="25"/>
      <c r="AL102" s="25" t="s">
        <v>299</v>
      </c>
      <c r="AM102" s="25" t="s">
        <v>299</v>
      </c>
      <c r="AN102" s="25" t="s">
        <v>299</v>
      </c>
      <c r="AO102" s="25" t="s">
        <v>299</v>
      </c>
      <c r="AP102" s="25" t="s">
        <v>299</v>
      </c>
      <c r="AQ102" s="25" t="s">
        <v>299</v>
      </c>
      <c r="AR102" s="25"/>
      <c r="AS102" s="25"/>
      <c r="AT102" s="25" t="s">
        <v>299</v>
      </c>
      <c r="AU102" s="25" t="s">
        <v>299</v>
      </c>
      <c r="AV102" s="25"/>
      <c r="AW102" s="25"/>
      <c r="AX102" s="25"/>
      <c r="AY102" s="25"/>
      <c r="AZ102" s="25"/>
      <c r="BA102" s="25"/>
      <c r="BB102" s="25" t="s">
        <v>299</v>
      </c>
      <c r="BC102" s="25"/>
      <c r="BD102" s="25"/>
      <c r="BE102" s="25" t="s">
        <v>299</v>
      </c>
      <c r="BF102" s="25" t="s">
        <v>299</v>
      </c>
      <c r="BG102" s="25" t="s">
        <v>299</v>
      </c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 t="s">
        <v>299</v>
      </c>
      <c r="BX102" s="25" t="s">
        <v>299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2">
        <f t="shared" si="1"/>
        <v>40</v>
      </c>
    </row>
    <row r="103" spans="1:103" x14ac:dyDescent="0.2">
      <c r="D103" s="22">
        <f>COUNTIF(D3:D102, "FP")</f>
        <v>9</v>
      </c>
      <c r="E103" s="22">
        <f t="shared" ref="E103:BP103" si="2">COUNTIF(E3:E102, "FP")</f>
        <v>28</v>
      </c>
      <c r="F103" s="22">
        <f t="shared" si="2"/>
        <v>54</v>
      </c>
      <c r="G103" s="22">
        <f t="shared" si="2"/>
        <v>36</v>
      </c>
      <c r="H103" s="22">
        <f t="shared" si="2"/>
        <v>11</v>
      </c>
      <c r="I103" s="22">
        <f t="shared" si="2"/>
        <v>87</v>
      </c>
      <c r="J103" s="22">
        <f t="shared" si="2"/>
        <v>51</v>
      </c>
      <c r="K103" s="22">
        <f t="shared" si="2"/>
        <v>9</v>
      </c>
      <c r="L103" s="22">
        <f t="shared" si="2"/>
        <v>49</v>
      </c>
      <c r="M103" s="22">
        <f t="shared" si="2"/>
        <v>43</v>
      </c>
      <c r="N103" s="22">
        <f t="shared" si="2"/>
        <v>42</v>
      </c>
      <c r="O103" s="22">
        <f t="shared" si="2"/>
        <v>48</v>
      </c>
      <c r="P103" s="22">
        <f t="shared" si="2"/>
        <v>51</v>
      </c>
      <c r="Q103" s="22">
        <f t="shared" si="2"/>
        <v>44</v>
      </c>
      <c r="R103" s="22">
        <f t="shared" si="2"/>
        <v>42</v>
      </c>
      <c r="S103" s="22">
        <f t="shared" si="2"/>
        <v>3</v>
      </c>
      <c r="T103" s="22">
        <f t="shared" si="2"/>
        <v>69</v>
      </c>
      <c r="U103" s="22">
        <f t="shared" si="2"/>
        <v>48</v>
      </c>
      <c r="V103" s="22">
        <f t="shared" si="2"/>
        <v>91</v>
      </c>
      <c r="W103" s="22">
        <f t="shared" si="2"/>
        <v>78</v>
      </c>
      <c r="X103" s="22">
        <f t="shared" si="2"/>
        <v>32</v>
      </c>
      <c r="Y103" s="22">
        <f t="shared" si="2"/>
        <v>13</v>
      </c>
      <c r="Z103" s="22">
        <f t="shared" si="2"/>
        <v>13</v>
      </c>
      <c r="AA103" s="22">
        <f t="shared" si="2"/>
        <v>32</v>
      </c>
      <c r="AB103" s="22">
        <f t="shared" si="2"/>
        <v>46</v>
      </c>
      <c r="AC103" s="22">
        <f t="shared" si="2"/>
        <v>72</v>
      </c>
      <c r="AD103" s="22">
        <f t="shared" si="2"/>
        <v>15</v>
      </c>
      <c r="AE103" s="22">
        <f t="shared" si="2"/>
        <v>72</v>
      </c>
      <c r="AF103" s="22">
        <f t="shared" si="2"/>
        <v>58</v>
      </c>
      <c r="AG103" s="22">
        <f t="shared" si="2"/>
        <v>75</v>
      </c>
      <c r="AH103" s="22">
        <f t="shared" si="2"/>
        <v>77</v>
      </c>
      <c r="AI103" s="22">
        <f t="shared" si="2"/>
        <v>19</v>
      </c>
      <c r="AJ103" s="22">
        <f t="shared" si="2"/>
        <v>21</v>
      </c>
      <c r="AK103" s="22">
        <f t="shared" si="2"/>
        <v>32</v>
      </c>
      <c r="AL103" s="22">
        <f t="shared" si="2"/>
        <v>79</v>
      </c>
      <c r="AM103" s="22">
        <f t="shared" si="2"/>
        <v>71</v>
      </c>
      <c r="AN103" s="22">
        <f t="shared" si="2"/>
        <v>9</v>
      </c>
      <c r="AO103" s="22">
        <f t="shared" si="2"/>
        <v>11</v>
      </c>
      <c r="AP103" s="22">
        <f t="shared" si="2"/>
        <v>4</v>
      </c>
      <c r="AQ103" s="22">
        <f t="shared" si="2"/>
        <v>37</v>
      </c>
      <c r="AR103" s="22">
        <f t="shared" si="2"/>
        <v>13</v>
      </c>
      <c r="AS103" s="22">
        <f t="shared" si="2"/>
        <v>12</v>
      </c>
      <c r="AT103" s="22">
        <f t="shared" si="2"/>
        <v>19</v>
      </c>
      <c r="AU103" s="22">
        <f t="shared" si="2"/>
        <v>19</v>
      </c>
      <c r="AV103" s="22">
        <f t="shared" si="2"/>
        <v>18</v>
      </c>
      <c r="AW103" s="22">
        <f t="shared" si="2"/>
        <v>9</v>
      </c>
      <c r="AX103" s="22">
        <f t="shared" si="2"/>
        <v>11</v>
      </c>
      <c r="AY103" s="22">
        <f t="shared" si="2"/>
        <v>11</v>
      </c>
      <c r="AZ103" s="22">
        <f t="shared" si="2"/>
        <v>3</v>
      </c>
      <c r="BA103" s="22">
        <f t="shared" si="2"/>
        <v>17</v>
      </c>
      <c r="BB103" s="22">
        <f t="shared" si="2"/>
        <v>19</v>
      </c>
      <c r="BC103" s="22">
        <f t="shared" si="2"/>
        <v>18</v>
      </c>
      <c r="BD103" s="22">
        <f t="shared" si="2"/>
        <v>2</v>
      </c>
      <c r="BE103" s="22">
        <f t="shared" si="2"/>
        <v>70</v>
      </c>
      <c r="BF103" s="22">
        <f t="shared" si="2"/>
        <v>62</v>
      </c>
      <c r="BG103" s="22">
        <f t="shared" si="2"/>
        <v>57</v>
      </c>
      <c r="BH103" s="22">
        <f t="shared" si="2"/>
        <v>1</v>
      </c>
      <c r="BI103" s="22">
        <f t="shared" si="2"/>
        <v>1</v>
      </c>
      <c r="BJ103" s="22">
        <f t="shared" si="2"/>
        <v>1</v>
      </c>
      <c r="BK103" s="22">
        <f t="shared" si="2"/>
        <v>7</v>
      </c>
      <c r="BL103" s="22">
        <f t="shared" si="2"/>
        <v>7</v>
      </c>
      <c r="BM103" s="22">
        <f t="shared" si="2"/>
        <v>1</v>
      </c>
      <c r="BN103" s="22">
        <f t="shared" si="2"/>
        <v>2</v>
      </c>
      <c r="BO103" s="22">
        <f t="shared" si="2"/>
        <v>2</v>
      </c>
      <c r="BP103" s="22">
        <f t="shared" si="2"/>
        <v>2</v>
      </c>
      <c r="BQ103" s="22">
        <f t="shared" ref="BQ103:CX103" si="3">COUNTIF(BQ3:BQ102, "FP")</f>
        <v>2</v>
      </c>
      <c r="BR103" s="22">
        <f t="shared" si="3"/>
        <v>1</v>
      </c>
      <c r="BS103" s="22">
        <f t="shared" si="3"/>
        <v>2</v>
      </c>
      <c r="BT103" s="22">
        <f t="shared" si="3"/>
        <v>2</v>
      </c>
      <c r="BU103" s="22">
        <f t="shared" si="3"/>
        <v>2</v>
      </c>
      <c r="BV103" s="22">
        <f t="shared" si="3"/>
        <v>9</v>
      </c>
      <c r="BW103" s="22">
        <f t="shared" si="3"/>
        <v>26</v>
      </c>
      <c r="BX103" s="22">
        <f t="shared" si="3"/>
        <v>28</v>
      </c>
      <c r="BY103" s="22">
        <f t="shared" si="3"/>
        <v>9</v>
      </c>
      <c r="BZ103" s="22">
        <f t="shared" si="3"/>
        <v>9</v>
      </c>
      <c r="CA103" s="22">
        <f t="shared" si="3"/>
        <v>1</v>
      </c>
      <c r="CB103" s="22">
        <f t="shared" si="3"/>
        <v>2</v>
      </c>
      <c r="CC103" s="22">
        <f t="shared" si="3"/>
        <v>2</v>
      </c>
      <c r="CD103" s="22">
        <f t="shared" si="3"/>
        <v>10</v>
      </c>
      <c r="CE103" s="22">
        <f t="shared" si="3"/>
        <v>4</v>
      </c>
      <c r="CF103" s="22">
        <f t="shared" si="3"/>
        <v>4</v>
      </c>
      <c r="CG103" s="22">
        <f t="shared" si="3"/>
        <v>3</v>
      </c>
      <c r="CH103" s="22">
        <f t="shared" si="3"/>
        <v>3</v>
      </c>
      <c r="CI103" s="22">
        <f t="shared" si="3"/>
        <v>3</v>
      </c>
      <c r="CJ103" s="22">
        <f t="shared" si="3"/>
        <v>14</v>
      </c>
      <c r="CK103" s="22">
        <f t="shared" si="3"/>
        <v>1</v>
      </c>
      <c r="CL103" s="22">
        <f t="shared" si="3"/>
        <v>3</v>
      </c>
      <c r="CM103" s="22">
        <f t="shared" si="3"/>
        <v>4</v>
      </c>
      <c r="CN103" s="22">
        <f t="shared" si="3"/>
        <v>3</v>
      </c>
      <c r="CO103" s="22">
        <f t="shared" si="3"/>
        <v>3</v>
      </c>
      <c r="CP103" s="22">
        <f t="shared" si="3"/>
        <v>3</v>
      </c>
      <c r="CQ103" s="22">
        <f t="shared" si="3"/>
        <v>4</v>
      </c>
      <c r="CR103" s="22">
        <f t="shared" si="3"/>
        <v>14</v>
      </c>
      <c r="CS103" s="22">
        <f t="shared" si="3"/>
        <v>14</v>
      </c>
      <c r="CT103" s="22">
        <f t="shared" si="3"/>
        <v>14</v>
      </c>
      <c r="CU103" s="22">
        <f t="shared" si="3"/>
        <v>14</v>
      </c>
      <c r="CV103" s="22">
        <f t="shared" si="3"/>
        <v>14</v>
      </c>
      <c r="CW103" s="22">
        <f t="shared" si="3"/>
        <v>1</v>
      </c>
      <c r="CX103" s="22">
        <f t="shared" si="3"/>
        <v>1</v>
      </c>
      <c r="CY103" s="22">
        <f>SUM(CY3:CY102)/100</f>
        <v>22.94</v>
      </c>
    </row>
  </sheetData>
  <mergeCells count="14">
    <mergeCell ref="CE1:CV1"/>
    <mergeCell ref="CW1:CX1"/>
    <mergeCell ref="AF1:AJ1"/>
    <mergeCell ref="AK1:AM1"/>
    <mergeCell ref="AO1:AQ1"/>
    <mergeCell ref="AR1:BB1"/>
    <mergeCell ref="BC1:BG1"/>
    <mergeCell ref="BH1:CD1"/>
    <mergeCell ref="D1:K1"/>
    <mergeCell ref="L1:M1"/>
    <mergeCell ref="N1:P1"/>
    <mergeCell ref="Q1:U1"/>
    <mergeCell ref="V1:W1"/>
    <mergeCell ref="X1:A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E521-4ABC-1942-B9DB-32061D2FB070}">
  <dimension ref="A1:S102"/>
  <sheetViews>
    <sheetView workbookViewId="0">
      <pane xSplit="3" ySplit="1" topLeftCell="G73" activePane="bottomRight" state="frozen"/>
      <selection pane="topRight"/>
      <selection pane="bottomLeft"/>
      <selection pane="bottomRight" activeCell="D102" sqref="D102:R102"/>
    </sheetView>
  </sheetViews>
  <sheetFormatPr baseColWidth="10" defaultColWidth="8.83203125" defaultRowHeight="15" x14ac:dyDescent="0.2"/>
  <cols>
    <col min="1" max="1" width="10" style="22" customWidth="1"/>
    <col min="2" max="2" width="28" style="22" customWidth="1"/>
    <col min="3" max="3" width="16" style="22" customWidth="1"/>
    <col min="4" max="18" width="18" style="22" customWidth="1"/>
    <col min="19" max="16384" width="8.83203125" style="22"/>
  </cols>
  <sheetData>
    <row r="1" spans="1:19" x14ac:dyDescent="0.2">
      <c r="A1" s="20" t="s">
        <v>294</v>
      </c>
      <c r="B1" s="20" t="s">
        <v>295</v>
      </c>
      <c r="C1" s="20" t="s">
        <v>296</v>
      </c>
      <c r="D1" s="20" t="s">
        <v>138</v>
      </c>
      <c r="E1" s="20" t="s">
        <v>139</v>
      </c>
      <c r="F1" s="20" t="s">
        <v>140</v>
      </c>
      <c r="G1" s="20" t="s">
        <v>141</v>
      </c>
      <c r="H1" s="20" t="s">
        <v>142</v>
      </c>
      <c r="I1" s="20" t="s">
        <v>143</v>
      </c>
      <c r="J1" s="20" t="s">
        <v>144</v>
      </c>
      <c r="K1" s="20" t="s">
        <v>145</v>
      </c>
      <c r="L1" s="20" t="s">
        <v>146</v>
      </c>
      <c r="M1" s="20" t="s">
        <v>147</v>
      </c>
      <c r="N1" s="20" t="s">
        <v>148</v>
      </c>
      <c r="O1" s="20" t="s">
        <v>149</v>
      </c>
      <c r="P1" s="20" t="s">
        <v>150</v>
      </c>
      <c r="Q1" s="20" t="s">
        <v>151</v>
      </c>
      <c r="R1" s="20" t="s">
        <v>152</v>
      </c>
    </row>
    <row r="2" spans="1:19" x14ac:dyDescent="0.2">
      <c r="A2" s="25" t="s">
        <v>297</v>
      </c>
      <c r="B2" s="26" t="s">
        <v>298</v>
      </c>
      <c r="C2" s="25" t="s">
        <v>299</v>
      </c>
      <c r="D2" s="26" t="s">
        <v>299</v>
      </c>
      <c r="E2" s="25" t="s">
        <v>299</v>
      </c>
      <c r="F2" s="25" t="s">
        <v>299</v>
      </c>
      <c r="G2" s="25" t="s">
        <v>299</v>
      </c>
      <c r="H2" s="25" t="s">
        <v>299</v>
      </c>
      <c r="I2" s="25" t="s">
        <v>299</v>
      </c>
      <c r="J2" s="25" t="s">
        <v>299</v>
      </c>
      <c r="K2" s="25" t="s">
        <v>299</v>
      </c>
      <c r="L2" s="25" t="s">
        <v>299</v>
      </c>
      <c r="M2" s="25" t="s">
        <v>299</v>
      </c>
      <c r="N2" s="25" t="s">
        <v>299</v>
      </c>
      <c r="O2" s="25" t="s">
        <v>299</v>
      </c>
      <c r="P2" s="25" t="s">
        <v>299</v>
      </c>
      <c r="Q2" s="25"/>
      <c r="R2" s="25"/>
      <c r="S2" s="22">
        <f>COUNTIF(D2:R2, "FP")</f>
        <v>13</v>
      </c>
    </row>
    <row r="3" spans="1:19" x14ac:dyDescent="0.2">
      <c r="A3" s="25" t="s">
        <v>300</v>
      </c>
      <c r="B3" s="26" t="s">
        <v>301</v>
      </c>
      <c r="C3" s="25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2">
        <f t="shared" ref="S3:S66" si="0">COUNTIF(D3:R3, "FP")</f>
        <v>0</v>
      </c>
    </row>
    <row r="4" spans="1:19" x14ac:dyDescent="0.2">
      <c r="A4" s="25" t="s">
        <v>302</v>
      </c>
      <c r="B4" s="26" t="s">
        <v>303</v>
      </c>
      <c r="C4" s="25" t="s">
        <v>299</v>
      </c>
      <c r="D4" s="26" t="s">
        <v>299</v>
      </c>
      <c r="E4" s="25"/>
      <c r="F4" s="25"/>
      <c r="G4" s="25"/>
      <c r="H4" s="25" t="s">
        <v>299</v>
      </c>
      <c r="I4" s="25"/>
      <c r="J4" s="25" t="s">
        <v>299</v>
      </c>
      <c r="K4" s="25" t="s">
        <v>299</v>
      </c>
      <c r="L4" s="25"/>
      <c r="M4" s="25"/>
      <c r="N4" s="25"/>
      <c r="O4" s="25" t="s">
        <v>299</v>
      </c>
      <c r="P4" s="25"/>
      <c r="Q4" s="25"/>
      <c r="R4" s="25"/>
      <c r="S4" s="22">
        <f t="shared" si="0"/>
        <v>5</v>
      </c>
    </row>
    <row r="5" spans="1:19" x14ac:dyDescent="0.2">
      <c r="A5" s="25" t="s">
        <v>304</v>
      </c>
      <c r="B5" s="26" t="s">
        <v>305</v>
      </c>
      <c r="C5" s="25" t="s">
        <v>299</v>
      </c>
      <c r="D5" s="26" t="s">
        <v>299</v>
      </c>
      <c r="E5" s="25" t="s">
        <v>299</v>
      </c>
      <c r="F5" s="25"/>
      <c r="G5" s="25" t="s">
        <v>299</v>
      </c>
      <c r="H5" s="25" t="s">
        <v>299</v>
      </c>
      <c r="I5" s="25" t="s">
        <v>299</v>
      </c>
      <c r="J5" s="25" t="s">
        <v>299</v>
      </c>
      <c r="K5" s="25"/>
      <c r="L5" s="25"/>
      <c r="M5" s="25"/>
      <c r="N5" s="25"/>
      <c r="O5" s="25"/>
      <c r="P5" s="25"/>
      <c r="Q5" s="25"/>
      <c r="R5" s="25"/>
      <c r="S5" s="22">
        <f t="shared" si="0"/>
        <v>6</v>
      </c>
    </row>
    <row r="6" spans="1:19" x14ac:dyDescent="0.2">
      <c r="A6" s="25" t="s">
        <v>306</v>
      </c>
      <c r="B6" s="26" t="s">
        <v>307</v>
      </c>
      <c r="C6" s="25" t="s">
        <v>299</v>
      </c>
      <c r="D6" s="26" t="s">
        <v>299</v>
      </c>
      <c r="E6" s="25"/>
      <c r="F6" s="25" t="s">
        <v>299</v>
      </c>
      <c r="G6" s="25"/>
      <c r="H6" s="25" t="s">
        <v>299</v>
      </c>
      <c r="I6" s="25" t="s">
        <v>299</v>
      </c>
      <c r="J6" s="25" t="s">
        <v>299</v>
      </c>
      <c r="K6" s="25" t="s">
        <v>299</v>
      </c>
      <c r="L6" s="25"/>
      <c r="M6" s="25"/>
      <c r="N6" s="25"/>
      <c r="O6" s="25"/>
      <c r="P6" s="25" t="s">
        <v>299</v>
      </c>
      <c r="Q6" s="25"/>
      <c r="R6" s="25"/>
      <c r="S6" s="22">
        <f t="shared" si="0"/>
        <v>7</v>
      </c>
    </row>
    <row r="7" spans="1:19" x14ac:dyDescent="0.2">
      <c r="A7" s="25" t="s">
        <v>308</v>
      </c>
      <c r="B7" s="26" t="s">
        <v>309</v>
      </c>
      <c r="C7" s="25" t="s">
        <v>299</v>
      </c>
      <c r="D7" s="26" t="s">
        <v>299</v>
      </c>
      <c r="E7" s="25" t="s">
        <v>299</v>
      </c>
      <c r="F7" s="25"/>
      <c r="G7" s="25" t="s">
        <v>299</v>
      </c>
      <c r="H7" s="25" t="s">
        <v>299</v>
      </c>
      <c r="I7" s="25" t="s">
        <v>299</v>
      </c>
      <c r="J7" s="25" t="s">
        <v>299</v>
      </c>
      <c r="K7" s="25" t="s">
        <v>299</v>
      </c>
      <c r="L7" s="25"/>
      <c r="M7" s="25"/>
      <c r="N7" s="25"/>
      <c r="O7" s="25"/>
      <c r="P7" s="25"/>
      <c r="Q7" s="25"/>
      <c r="R7" s="25"/>
      <c r="S7" s="22">
        <f t="shared" si="0"/>
        <v>7</v>
      </c>
    </row>
    <row r="8" spans="1:19" x14ac:dyDescent="0.2">
      <c r="A8" s="25" t="s">
        <v>310</v>
      </c>
      <c r="B8" s="26" t="s">
        <v>311</v>
      </c>
      <c r="C8" s="25" t="s">
        <v>299</v>
      </c>
      <c r="D8" s="26" t="s">
        <v>299</v>
      </c>
      <c r="E8" s="25"/>
      <c r="F8" s="25" t="s">
        <v>299</v>
      </c>
      <c r="G8" s="25" t="s">
        <v>299</v>
      </c>
      <c r="H8" s="25" t="s">
        <v>299</v>
      </c>
      <c r="I8" s="25" t="s">
        <v>299</v>
      </c>
      <c r="J8" s="25" t="s">
        <v>299</v>
      </c>
      <c r="K8" s="25" t="s">
        <v>299</v>
      </c>
      <c r="L8" s="25"/>
      <c r="M8" s="25"/>
      <c r="N8" s="25"/>
      <c r="O8" s="25" t="s">
        <v>299</v>
      </c>
      <c r="P8" s="25"/>
      <c r="Q8" s="25"/>
      <c r="R8" s="25"/>
      <c r="S8" s="22">
        <f t="shared" si="0"/>
        <v>8</v>
      </c>
    </row>
    <row r="9" spans="1:19" x14ac:dyDescent="0.2">
      <c r="A9" s="25" t="s">
        <v>312</v>
      </c>
      <c r="B9" s="26" t="s">
        <v>313</v>
      </c>
      <c r="C9" s="25" t="s">
        <v>299</v>
      </c>
      <c r="D9" s="26" t="s">
        <v>299</v>
      </c>
      <c r="E9" s="25" t="s">
        <v>299</v>
      </c>
      <c r="F9" s="25" t="s">
        <v>299</v>
      </c>
      <c r="G9" s="25" t="s">
        <v>299</v>
      </c>
      <c r="H9" s="25" t="s">
        <v>299</v>
      </c>
      <c r="I9" s="25" t="s">
        <v>299</v>
      </c>
      <c r="J9" s="25" t="s">
        <v>299</v>
      </c>
      <c r="K9" s="25" t="s">
        <v>299</v>
      </c>
      <c r="L9" s="25"/>
      <c r="M9" s="25"/>
      <c r="N9" s="25"/>
      <c r="O9" s="25" t="s">
        <v>299</v>
      </c>
      <c r="P9" s="25"/>
      <c r="Q9" s="25"/>
      <c r="R9" s="25"/>
      <c r="S9" s="22">
        <f t="shared" si="0"/>
        <v>9</v>
      </c>
    </row>
    <row r="10" spans="1:19" x14ac:dyDescent="0.2">
      <c r="A10" s="25" t="s">
        <v>314</v>
      </c>
      <c r="B10" s="26" t="s">
        <v>315</v>
      </c>
      <c r="C10" s="25" t="s">
        <v>299</v>
      </c>
      <c r="D10" s="26" t="s">
        <v>299</v>
      </c>
      <c r="E10" s="25"/>
      <c r="F10" s="25" t="s">
        <v>299</v>
      </c>
      <c r="G10" s="25" t="s">
        <v>299</v>
      </c>
      <c r="H10" s="25" t="s">
        <v>299</v>
      </c>
      <c r="I10" s="25"/>
      <c r="J10" s="25" t="s">
        <v>299</v>
      </c>
      <c r="K10" s="25" t="s">
        <v>299</v>
      </c>
      <c r="L10" s="25"/>
      <c r="M10" s="25"/>
      <c r="N10" s="25"/>
      <c r="O10" s="25" t="s">
        <v>299</v>
      </c>
      <c r="P10" s="25"/>
      <c r="Q10" s="25"/>
      <c r="R10" s="25"/>
      <c r="S10" s="22">
        <f t="shared" si="0"/>
        <v>7</v>
      </c>
    </row>
    <row r="11" spans="1:19" x14ac:dyDescent="0.2">
      <c r="A11" s="25" t="s">
        <v>316</v>
      </c>
      <c r="B11" s="26" t="s">
        <v>317</v>
      </c>
      <c r="C11" s="25" t="s">
        <v>299</v>
      </c>
      <c r="D11" s="26" t="s">
        <v>299</v>
      </c>
      <c r="E11" s="25"/>
      <c r="F11" s="25" t="s">
        <v>299</v>
      </c>
      <c r="G11" s="25"/>
      <c r="H11" s="25" t="s">
        <v>299</v>
      </c>
      <c r="I11" s="25" t="s">
        <v>299</v>
      </c>
      <c r="J11" s="25" t="s">
        <v>299</v>
      </c>
      <c r="K11" s="25" t="s">
        <v>299</v>
      </c>
      <c r="L11" s="25"/>
      <c r="M11" s="25"/>
      <c r="N11" s="25"/>
      <c r="O11" s="25"/>
      <c r="P11" s="25" t="s">
        <v>299</v>
      </c>
      <c r="Q11" s="25"/>
      <c r="R11" s="25"/>
      <c r="S11" s="22">
        <f t="shared" si="0"/>
        <v>7</v>
      </c>
    </row>
    <row r="12" spans="1:19" x14ac:dyDescent="0.2">
      <c r="A12" s="25" t="s">
        <v>318</v>
      </c>
      <c r="B12" s="26" t="s">
        <v>319</v>
      </c>
      <c r="C12" s="25" t="s">
        <v>299</v>
      </c>
      <c r="D12" s="26" t="s">
        <v>299</v>
      </c>
      <c r="E12" s="25" t="s">
        <v>299</v>
      </c>
      <c r="F12" s="25" t="s">
        <v>299</v>
      </c>
      <c r="G12" s="25" t="s">
        <v>299</v>
      </c>
      <c r="H12" s="25" t="s">
        <v>299</v>
      </c>
      <c r="I12" s="25" t="s">
        <v>299</v>
      </c>
      <c r="J12" s="25" t="s">
        <v>299</v>
      </c>
      <c r="K12" s="25" t="s">
        <v>299</v>
      </c>
      <c r="L12" s="25"/>
      <c r="M12" s="25" t="s">
        <v>299</v>
      </c>
      <c r="N12" s="25"/>
      <c r="O12" s="25" t="s">
        <v>299</v>
      </c>
      <c r="P12" s="25" t="s">
        <v>299</v>
      </c>
      <c r="Q12" s="25"/>
      <c r="R12" s="25"/>
      <c r="S12" s="22">
        <f t="shared" si="0"/>
        <v>11</v>
      </c>
    </row>
    <row r="13" spans="1:19" x14ac:dyDescent="0.2">
      <c r="A13" s="25" t="s">
        <v>320</v>
      </c>
      <c r="B13" s="26" t="s">
        <v>321</v>
      </c>
      <c r="C13" s="25" t="s">
        <v>299</v>
      </c>
      <c r="D13" s="26" t="s">
        <v>299</v>
      </c>
      <c r="E13" s="25"/>
      <c r="F13" s="25"/>
      <c r="G13" s="25"/>
      <c r="H13" s="25" t="s">
        <v>299</v>
      </c>
      <c r="I13" s="25"/>
      <c r="J13" s="25" t="s">
        <v>299</v>
      </c>
      <c r="K13" s="25" t="s">
        <v>299</v>
      </c>
      <c r="L13" s="25"/>
      <c r="M13" s="25"/>
      <c r="N13" s="25"/>
      <c r="O13" s="25" t="s">
        <v>299</v>
      </c>
      <c r="P13" s="25"/>
      <c r="Q13" s="25"/>
      <c r="R13" s="25"/>
      <c r="S13" s="22">
        <f t="shared" si="0"/>
        <v>5</v>
      </c>
    </row>
    <row r="14" spans="1:19" x14ac:dyDescent="0.2">
      <c r="A14" s="25" t="s">
        <v>322</v>
      </c>
      <c r="B14" s="26" t="s">
        <v>323</v>
      </c>
      <c r="C14" s="25" t="s">
        <v>299</v>
      </c>
      <c r="D14" s="26" t="s">
        <v>299</v>
      </c>
      <c r="E14" s="25"/>
      <c r="F14" s="25" t="s">
        <v>299</v>
      </c>
      <c r="G14" s="25" t="s">
        <v>299</v>
      </c>
      <c r="H14" s="25" t="s">
        <v>299</v>
      </c>
      <c r="I14" s="25" t="s">
        <v>299</v>
      </c>
      <c r="J14" s="25" t="s">
        <v>299</v>
      </c>
      <c r="K14" s="25" t="s">
        <v>299</v>
      </c>
      <c r="L14" s="25" t="s">
        <v>299</v>
      </c>
      <c r="M14" s="25" t="s">
        <v>299</v>
      </c>
      <c r="N14" s="25" t="s">
        <v>299</v>
      </c>
      <c r="O14" s="25" t="s">
        <v>299</v>
      </c>
      <c r="P14" s="25" t="s">
        <v>299</v>
      </c>
      <c r="Q14" s="25"/>
      <c r="R14" s="25"/>
      <c r="S14" s="22">
        <f t="shared" si="0"/>
        <v>12</v>
      </c>
    </row>
    <row r="15" spans="1:19" x14ac:dyDescent="0.2">
      <c r="A15" s="25" t="s">
        <v>324</v>
      </c>
      <c r="B15" s="26" t="s">
        <v>325</v>
      </c>
      <c r="C15" s="25" t="s">
        <v>299</v>
      </c>
      <c r="D15" s="26" t="s">
        <v>299</v>
      </c>
      <c r="E15" s="25" t="s">
        <v>299</v>
      </c>
      <c r="F15" s="25" t="s">
        <v>299</v>
      </c>
      <c r="G15" s="25" t="s">
        <v>299</v>
      </c>
      <c r="H15" s="25" t="s">
        <v>299</v>
      </c>
      <c r="I15" s="25" t="s">
        <v>299</v>
      </c>
      <c r="J15" s="25" t="s">
        <v>299</v>
      </c>
      <c r="K15" s="25" t="s">
        <v>299</v>
      </c>
      <c r="L15" s="25"/>
      <c r="M15" s="25" t="s">
        <v>299</v>
      </c>
      <c r="N15" s="25"/>
      <c r="O15" s="25" t="s">
        <v>299</v>
      </c>
      <c r="P15" s="25" t="s">
        <v>299</v>
      </c>
      <c r="Q15" s="25"/>
      <c r="R15" s="25"/>
      <c r="S15" s="22">
        <f t="shared" si="0"/>
        <v>11</v>
      </c>
    </row>
    <row r="16" spans="1:19" x14ac:dyDescent="0.2">
      <c r="A16" s="25" t="s">
        <v>326</v>
      </c>
      <c r="B16" s="26" t="s">
        <v>327</v>
      </c>
      <c r="C16" s="25" t="s">
        <v>299</v>
      </c>
      <c r="D16" s="26" t="s">
        <v>299</v>
      </c>
      <c r="E16" s="25" t="s">
        <v>299</v>
      </c>
      <c r="F16" s="25" t="s">
        <v>299</v>
      </c>
      <c r="G16" s="25" t="s">
        <v>299</v>
      </c>
      <c r="H16" s="25" t="s">
        <v>299</v>
      </c>
      <c r="I16" s="25" t="s">
        <v>299</v>
      </c>
      <c r="J16" s="25" t="s">
        <v>299</v>
      </c>
      <c r="K16" s="25" t="s">
        <v>299</v>
      </c>
      <c r="L16" s="25"/>
      <c r="M16" s="25" t="s">
        <v>299</v>
      </c>
      <c r="N16" s="25"/>
      <c r="O16" s="25" t="s">
        <v>299</v>
      </c>
      <c r="P16" s="25" t="s">
        <v>299</v>
      </c>
      <c r="Q16" s="25"/>
      <c r="R16" s="25"/>
      <c r="S16" s="22">
        <f t="shared" si="0"/>
        <v>11</v>
      </c>
    </row>
    <row r="17" spans="1:19" x14ac:dyDescent="0.2">
      <c r="A17" s="25" t="s">
        <v>328</v>
      </c>
      <c r="B17" s="26" t="s">
        <v>329</v>
      </c>
      <c r="C17" s="25" t="s">
        <v>299</v>
      </c>
      <c r="D17" s="26" t="s">
        <v>299</v>
      </c>
      <c r="E17" s="25"/>
      <c r="F17" s="25" t="s">
        <v>299</v>
      </c>
      <c r="G17" s="25" t="s">
        <v>299</v>
      </c>
      <c r="H17" s="25" t="s">
        <v>299</v>
      </c>
      <c r="I17" s="25"/>
      <c r="J17" s="25" t="s">
        <v>299</v>
      </c>
      <c r="K17" s="25" t="s">
        <v>299</v>
      </c>
      <c r="L17" s="25"/>
      <c r="M17" s="25"/>
      <c r="N17" s="25"/>
      <c r="O17" s="25"/>
      <c r="P17" s="25"/>
      <c r="Q17" s="25"/>
      <c r="R17" s="25"/>
      <c r="S17" s="22">
        <f t="shared" si="0"/>
        <v>6</v>
      </c>
    </row>
    <row r="18" spans="1:19" x14ac:dyDescent="0.2">
      <c r="A18" s="25" t="s">
        <v>330</v>
      </c>
      <c r="B18" s="26" t="s">
        <v>331</v>
      </c>
      <c r="C18" s="25" t="s">
        <v>299</v>
      </c>
      <c r="D18" s="26" t="s">
        <v>299</v>
      </c>
      <c r="E18" s="25"/>
      <c r="F18" s="25"/>
      <c r="G18" s="25" t="s">
        <v>299</v>
      </c>
      <c r="H18" s="25" t="s">
        <v>299</v>
      </c>
      <c r="I18" s="25" t="s">
        <v>299</v>
      </c>
      <c r="J18" s="25" t="s">
        <v>299</v>
      </c>
      <c r="K18" s="25" t="s">
        <v>299</v>
      </c>
      <c r="L18" s="25"/>
      <c r="M18" s="25"/>
      <c r="N18" s="25"/>
      <c r="O18" s="25"/>
      <c r="P18" s="25"/>
      <c r="Q18" s="25"/>
      <c r="R18" s="25"/>
      <c r="S18" s="22">
        <f t="shared" si="0"/>
        <v>6</v>
      </c>
    </row>
    <row r="19" spans="1:19" x14ac:dyDescent="0.2">
      <c r="A19" s="25" t="s">
        <v>332</v>
      </c>
      <c r="B19" s="26" t="s">
        <v>333</v>
      </c>
      <c r="C19" s="25" t="s">
        <v>299</v>
      </c>
      <c r="D19" s="26" t="s">
        <v>299</v>
      </c>
      <c r="E19" s="25" t="s">
        <v>299</v>
      </c>
      <c r="F19" s="25" t="s">
        <v>299</v>
      </c>
      <c r="G19" s="25" t="s">
        <v>299</v>
      </c>
      <c r="H19" s="25" t="s">
        <v>299</v>
      </c>
      <c r="I19" s="25" t="s">
        <v>299</v>
      </c>
      <c r="J19" s="25" t="s">
        <v>299</v>
      </c>
      <c r="K19" s="25" t="s">
        <v>299</v>
      </c>
      <c r="L19" s="25"/>
      <c r="M19" s="25" t="s">
        <v>299</v>
      </c>
      <c r="N19" s="25"/>
      <c r="O19" s="25"/>
      <c r="P19" s="25"/>
      <c r="Q19" s="25"/>
      <c r="R19" s="25"/>
      <c r="S19" s="22">
        <f t="shared" si="0"/>
        <v>9</v>
      </c>
    </row>
    <row r="20" spans="1:19" x14ac:dyDescent="0.2">
      <c r="A20" s="25" t="s">
        <v>334</v>
      </c>
      <c r="B20" s="26" t="s">
        <v>335</v>
      </c>
      <c r="C20" s="25" t="s">
        <v>299</v>
      </c>
      <c r="D20" s="26" t="s">
        <v>299</v>
      </c>
      <c r="E20" s="25" t="s">
        <v>299</v>
      </c>
      <c r="F20" s="25"/>
      <c r="G20" s="25"/>
      <c r="H20" s="25" t="s">
        <v>299</v>
      </c>
      <c r="I20" s="25"/>
      <c r="J20" s="25" t="s">
        <v>299</v>
      </c>
      <c r="K20" s="25" t="s">
        <v>299</v>
      </c>
      <c r="L20" s="25"/>
      <c r="M20" s="25"/>
      <c r="N20" s="25"/>
      <c r="O20" s="25"/>
      <c r="P20" s="25"/>
      <c r="Q20" s="25"/>
      <c r="R20" s="25"/>
      <c r="S20" s="22">
        <f t="shared" si="0"/>
        <v>5</v>
      </c>
    </row>
    <row r="21" spans="1:19" x14ac:dyDescent="0.2">
      <c r="A21" s="25" t="s">
        <v>336</v>
      </c>
      <c r="B21" s="26" t="s">
        <v>337</v>
      </c>
      <c r="C21" s="25" t="s">
        <v>299</v>
      </c>
      <c r="D21" s="26" t="s">
        <v>299</v>
      </c>
      <c r="E21" s="25"/>
      <c r="F21" s="25" t="s">
        <v>299</v>
      </c>
      <c r="G21" s="25"/>
      <c r="H21" s="25" t="s">
        <v>299</v>
      </c>
      <c r="I21" s="25"/>
      <c r="J21" s="25" t="s">
        <v>299</v>
      </c>
      <c r="K21" s="25" t="s">
        <v>299</v>
      </c>
      <c r="L21" s="25"/>
      <c r="M21" s="25"/>
      <c r="N21" s="25"/>
      <c r="O21" s="25"/>
      <c r="P21" s="25"/>
      <c r="Q21" s="25"/>
      <c r="R21" s="25"/>
      <c r="S21" s="22">
        <f t="shared" si="0"/>
        <v>5</v>
      </c>
    </row>
    <row r="22" spans="1:19" x14ac:dyDescent="0.2">
      <c r="A22" s="25" t="s">
        <v>338</v>
      </c>
      <c r="B22" s="26" t="s">
        <v>339</v>
      </c>
      <c r="C22" s="25" t="s">
        <v>299</v>
      </c>
      <c r="D22" s="26" t="s">
        <v>299</v>
      </c>
      <c r="E22" s="25" t="s">
        <v>299</v>
      </c>
      <c r="F22" s="25" t="s">
        <v>299</v>
      </c>
      <c r="G22" s="25" t="s">
        <v>299</v>
      </c>
      <c r="H22" s="25" t="s">
        <v>299</v>
      </c>
      <c r="I22" s="25" t="s">
        <v>299</v>
      </c>
      <c r="J22" s="25" t="s">
        <v>299</v>
      </c>
      <c r="K22" s="25" t="s">
        <v>299</v>
      </c>
      <c r="L22" s="25"/>
      <c r="M22" s="25" t="s">
        <v>299</v>
      </c>
      <c r="N22" s="25"/>
      <c r="O22" s="25" t="s">
        <v>299</v>
      </c>
      <c r="P22" s="25"/>
      <c r="Q22" s="25"/>
      <c r="R22" s="25"/>
      <c r="S22" s="22">
        <f t="shared" si="0"/>
        <v>10</v>
      </c>
    </row>
    <row r="23" spans="1:19" x14ac:dyDescent="0.2">
      <c r="A23" s="25" t="s">
        <v>340</v>
      </c>
      <c r="B23" s="26" t="s">
        <v>341</v>
      </c>
      <c r="C23" s="25" t="s">
        <v>299</v>
      </c>
      <c r="D23" s="26" t="s">
        <v>299</v>
      </c>
      <c r="E23" s="25" t="s">
        <v>299</v>
      </c>
      <c r="F23" s="25" t="s">
        <v>299</v>
      </c>
      <c r="G23" s="25" t="s">
        <v>299</v>
      </c>
      <c r="H23" s="25" t="s">
        <v>299</v>
      </c>
      <c r="I23" s="25" t="s">
        <v>299</v>
      </c>
      <c r="J23" s="25" t="s">
        <v>299</v>
      </c>
      <c r="K23" s="25" t="s">
        <v>299</v>
      </c>
      <c r="L23" s="25" t="s">
        <v>299</v>
      </c>
      <c r="M23" s="25" t="s">
        <v>299</v>
      </c>
      <c r="N23" s="25" t="s">
        <v>299</v>
      </c>
      <c r="O23" s="25" t="s">
        <v>299</v>
      </c>
      <c r="P23" s="25" t="s">
        <v>299</v>
      </c>
      <c r="Q23" s="25" t="s">
        <v>299</v>
      </c>
      <c r="R23" s="25"/>
      <c r="S23" s="22">
        <f t="shared" si="0"/>
        <v>14</v>
      </c>
    </row>
    <row r="24" spans="1:19" x14ac:dyDescent="0.2">
      <c r="A24" s="25" t="s">
        <v>342</v>
      </c>
      <c r="B24" s="26" t="s">
        <v>343</v>
      </c>
      <c r="C24" s="25" t="s">
        <v>299</v>
      </c>
      <c r="D24" s="26" t="s">
        <v>299</v>
      </c>
      <c r="E24" s="25"/>
      <c r="F24" s="25"/>
      <c r="G24" s="25" t="s">
        <v>299</v>
      </c>
      <c r="H24" s="25" t="s">
        <v>299</v>
      </c>
      <c r="I24" s="25" t="s">
        <v>299</v>
      </c>
      <c r="J24" s="25" t="s">
        <v>299</v>
      </c>
      <c r="K24" s="25" t="s">
        <v>299</v>
      </c>
      <c r="L24" s="25"/>
      <c r="M24" s="25"/>
      <c r="N24" s="25" t="s">
        <v>299</v>
      </c>
      <c r="O24" s="25" t="s">
        <v>299</v>
      </c>
      <c r="P24" s="25"/>
      <c r="Q24" s="25"/>
      <c r="R24" s="25"/>
      <c r="S24" s="22">
        <f t="shared" si="0"/>
        <v>8</v>
      </c>
    </row>
    <row r="25" spans="1:19" x14ac:dyDescent="0.2">
      <c r="A25" s="25" t="s">
        <v>344</v>
      </c>
      <c r="B25" s="26" t="s">
        <v>345</v>
      </c>
      <c r="C25" s="25" t="s">
        <v>299</v>
      </c>
      <c r="D25" s="26" t="s">
        <v>299</v>
      </c>
      <c r="E25" s="25" t="s">
        <v>299</v>
      </c>
      <c r="F25" s="25" t="s">
        <v>299</v>
      </c>
      <c r="G25" s="25" t="s">
        <v>299</v>
      </c>
      <c r="H25" s="25" t="s">
        <v>299</v>
      </c>
      <c r="I25" s="25" t="s">
        <v>299</v>
      </c>
      <c r="J25" s="25" t="s">
        <v>299</v>
      </c>
      <c r="K25" s="25" t="s">
        <v>299</v>
      </c>
      <c r="L25" s="25"/>
      <c r="M25" s="25"/>
      <c r="N25" s="25"/>
      <c r="O25" s="25" t="s">
        <v>299</v>
      </c>
      <c r="P25" s="25"/>
      <c r="Q25" s="25"/>
      <c r="R25" s="25"/>
      <c r="S25" s="22">
        <f t="shared" si="0"/>
        <v>9</v>
      </c>
    </row>
    <row r="26" spans="1:19" x14ac:dyDescent="0.2">
      <c r="A26" s="25" t="s">
        <v>346</v>
      </c>
      <c r="B26" s="26" t="s">
        <v>347</v>
      </c>
      <c r="C26" s="25" t="s">
        <v>299</v>
      </c>
      <c r="D26" s="26" t="s">
        <v>299</v>
      </c>
      <c r="E26" s="25" t="s">
        <v>299</v>
      </c>
      <c r="F26" s="25" t="s">
        <v>299</v>
      </c>
      <c r="G26" s="25" t="s">
        <v>299</v>
      </c>
      <c r="H26" s="25" t="s">
        <v>299</v>
      </c>
      <c r="I26" s="25" t="s">
        <v>299</v>
      </c>
      <c r="J26" s="25" t="s">
        <v>299</v>
      </c>
      <c r="K26" s="25" t="s">
        <v>299</v>
      </c>
      <c r="L26" s="25"/>
      <c r="M26" s="25" t="s">
        <v>299</v>
      </c>
      <c r="N26" s="25" t="s">
        <v>299</v>
      </c>
      <c r="O26" s="25" t="s">
        <v>299</v>
      </c>
      <c r="P26" s="25"/>
      <c r="Q26" s="25"/>
      <c r="R26" s="25"/>
      <c r="S26" s="22">
        <f t="shared" si="0"/>
        <v>11</v>
      </c>
    </row>
    <row r="27" spans="1:19" x14ac:dyDescent="0.2">
      <c r="A27" s="25" t="s">
        <v>348</v>
      </c>
      <c r="B27" s="26" t="s">
        <v>349</v>
      </c>
      <c r="C27" s="25" t="s">
        <v>299</v>
      </c>
      <c r="D27" s="26" t="s">
        <v>299</v>
      </c>
      <c r="E27" s="25"/>
      <c r="F27" s="25"/>
      <c r="G27" s="25"/>
      <c r="H27" s="25" t="s">
        <v>299</v>
      </c>
      <c r="I27" s="25"/>
      <c r="J27" s="25" t="s">
        <v>299</v>
      </c>
      <c r="K27" s="25" t="s">
        <v>299</v>
      </c>
      <c r="L27" s="25"/>
      <c r="M27" s="25"/>
      <c r="N27" s="25"/>
      <c r="O27" s="25"/>
      <c r="P27" s="25"/>
      <c r="Q27" s="25"/>
      <c r="R27" s="25"/>
      <c r="S27" s="22">
        <f t="shared" si="0"/>
        <v>4</v>
      </c>
    </row>
    <row r="28" spans="1:19" x14ac:dyDescent="0.2">
      <c r="A28" s="25" t="s">
        <v>350</v>
      </c>
      <c r="B28" s="26" t="s">
        <v>351</v>
      </c>
      <c r="C28" s="25" t="s">
        <v>299</v>
      </c>
      <c r="D28" s="26" t="s">
        <v>299</v>
      </c>
      <c r="E28" s="25"/>
      <c r="F28" s="25"/>
      <c r="G28" s="25" t="s">
        <v>299</v>
      </c>
      <c r="H28" s="25" t="s">
        <v>299</v>
      </c>
      <c r="I28" s="25" t="s">
        <v>299</v>
      </c>
      <c r="J28" s="25" t="s">
        <v>299</v>
      </c>
      <c r="K28" s="25" t="s">
        <v>299</v>
      </c>
      <c r="L28" s="25"/>
      <c r="M28" s="25" t="s">
        <v>299</v>
      </c>
      <c r="N28" s="25"/>
      <c r="O28" s="25" t="s">
        <v>299</v>
      </c>
      <c r="P28" s="25"/>
      <c r="Q28" s="25"/>
      <c r="R28" s="25"/>
      <c r="S28" s="22">
        <f t="shared" si="0"/>
        <v>8</v>
      </c>
    </row>
    <row r="29" spans="1:19" x14ac:dyDescent="0.2">
      <c r="A29" s="25" t="s">
        <v>352</v>
      </c>
      <c r="B29" s="26" t="s">
        <v>353</v>
      </c>
      <c r="C29" s="25" t="s">
        <v>299</v>
      </c>
      <c r="D29" s="26" t="s">
        <v>299</v>
      </c>
      <c r="E29" s="25" t="s">
        <v>299</v>
      </c>
      <c r="F29" s="25"/>
      <c r="G29" s="25"/>
      <c r="H29" s="25"/>
      <c r="I29" s="25"/>
      <c r="J29" s="25" t="s">
        <v>299</v>
      </c>
      <c r="K29" s="25"/>
      <c r="L29" s="25"/>
      <c r="M29" s="25"/>
      <c r="N29" s="25"/>
      <c r="O29" s="25"/>
      <c r="P29" s="25"/>
      <c r="Q29" s="25"/>
      <c r="R29" s="25"/>
      <c r="S29" s="22">
        <f t="shared" si="0"/>
        <v>3</v>
      </c>
    </row>
    <row r="30" spans="1:19" x14ac:dyDescent="0.2">
      <c r="A30" s="25" t="s">
        <v>354</v>
      </c>
      <c r="B30" s="26" t="s">
        <v>355</v>
      </c>
      <c r="C30" s="25" t="s">
        <v>299</v>
      </c>
      <c r="D30" s="26" t="s">
        <v>299</v>
      </c>
      <c r="E30" s="25" t="s">
        <v>299</v>
      </c>
      <c r="F30" s="25" t="s">
        <v>299</v>
      </c>
      <c r="G30" s="25" t="s">
        <v>299</v>
      </c>
      <c r="H30" s="25" t="s">
        <v>299</v>
      </c>
      <c r="I30" s="25" t="s">
        <v>299</v>
      </c>
      <c r="J30" s="25" t="s">
        <v>299</v>
      </c>
      <c r="K30" s="25" t="s">
        <v>299</v>
      </c>
      <c r="L30" s="25"/>
      <c r="M30" s="25"/>
      <c r="N30" s="25"/>
      <c r="O30" s="25"/>
      <c r="P30" s="25"/>
      <c r="Q30" s="25"/>
      <c r="R30" s="25"/>
      <c r="S30" s="22">
        <f t="shared" si="0"/>
        <v>8</v>
      </c>
    </row>
    <row r="31" spans="1:19" x14ac:dyDescent="0.2">
      <c r="A31" s="25" t="s">
        <v>356</v>
      </c>
      <c r="B31" s="26" t="s">
        <v>357</v>
      </c>
      <c r="C31" s="25" t="s">
        <v>299</v>
      </c>
      <c r="D31" s="26" t="s">
        <v>299</v>
      </c>
      <c r="E31" s="25"/>
      <c r="F31" s="25" t="s">
        <v>299</v>
      </c>
      <c r="G31" s="25" t="s">
        <v>299</v>
      </c>
      <c r="H31" s="25" t="s">
        <v>299</v>
      </c>
      <c r="I31" s="25" t="s">
        <v>299</v>
      </c>
      <c r="J31" s="25" t="s">
        <v>299</v>
      </c>
      <c r="K31" s="25" t="s">
        <v>299</v>
      </c>
      <c r="L31" s="25"/>
      <c r="M31" s="25"/>
      <c r="N31" s="25"/>
      <c r="O31" s="25"/>
      <c r="P31" s="25"/>
      <c r="Q31" s="25"/>
      <c r="R31" s="25"/>
      <c r="S31" s="22">
        <f t="shared" si="0"/>
        <v>7</v>
      </c>
    </row>
    <row r="32" spans="1:19" x14ac:dyDescent="0.2">
      <c r="A32" s="25" t="s">
        <v>358</v>
      </c>
      <c r="B32" s="26" t="s">
        <v>359</v>
      </c>
      <c r="C32" s="25" t="s">
        <v>299</v>
      </c>
      <c r="D32" s="26" t="s">
        <v>299</v>
      </c>
      <c r="E32" s="25" t="s">
        <v>299</v>
      </c>
      <c r="F32" s="25" t="s">
        <v>299</v>
      </c>
      <c r="G32" s="25" t="s">
        <v>299</v>
      </c>
      <c r="H32" s="25" t="s">
        <v>299</v>
      </c>
      <c r="I32" s="25" t="s">
        <v>299</v>
      </c>
      <c r="J32" s="25" t="s">
        <v>299</v>
      </c>
      <c r="K32" s="25" t="s">
        <v>299</v>
      </c>
      <c r="L32" s="25"/>
      <c r="M32" s="25"/>
      <c r="N32" s="25"/>
      <c r="O32" s="25" t="s">
        <v>299</v>
      </c>
      <c r="P32" s="25" t="s">
        <v>299</v>
      </c>
      <c r="Q32" s="25"/>
      <c r="R32" s="25"/>
      <c r="S32" s="22">
        <f t="shared" si="0"/>
        <v>10</v>
      </c>
    </row>
    <row r="33" spans="1:19" x14ac:dyDescent="0.2">
      <c r="A33" s="25" t="s">
        <v>360</v>
      </c>
      <c r="B33" s="26" t="s">
        <v>361</v>
      </c>
      <c r="C33" s="25" t="s">
        <v>299</v>
      </c>
      <c r="D33" s="26" t="s">
        <v>299</v>
      </c>
      <c r="E33" s="25"/>
      <c r="F33" s="25"/>
      <c r="G33" s="25" t="s">
        <v>299</v>
      </c>
      <c r="H33" s="25" t="s">
        <v>299</v>
      </c>
      <c r="I33" s="25"/>
      <c r="J33" s="25" t="s">
        <v>299</v>
      </c>
      <c r="K33" s="25" t="s">
        <v>299</v>
      </c>
      <c r="L33" s="25"/>
      <c r="M33" s="25"/>
      <c r="N33" s="25"/>
      <c r="O33" s="25" t="s">
        <v>299</v>
      </c>
      <c r="P33" s="25"/>
      <c r="Q33" s="25"/>
      <c r="R33" s="25"/>
      <c r="S33" s="22">
        <f t="shared" si="0"/>
        <v>6</v>
      </c>
    </row>
    <row r="34" spans="1:19" x14ac:dyDescent="0.2">
      <c r="A34" s="25" t="s">
        <v>362</v>
      </c>
      <c r="B34" s="26" t="s">
        <v>363</v>
      </c>
      <c r="C34" s="25" t="s">
        <v>299</v>
      </c>
      <c r="D34" s="26" t="s">
        <v>299</v>
      </c>
      <c r="E34" s="25" t="s">
        <v>299</v>
      </c>
      <c r="F34" s="25" t="s">
        <v>299</v>
      </c>
      <c r="G34" s="25" t="s">
        <v>299</v>
      </c>
      <c r="H34" s="25" t="s">
        <v>299</v>
      </c>
      <c r="I34" s="25" t="s">
        <v>299</v>
      </c>
      <c r="J34" s="25" t="s">
        <v>299</v>
      </c>
      <c r="K34" s="25" t="s">
        <v>299</v>
      </c>
      <c r="L34" s="25" t="s">
        <v>299</v>
      </c>
      <c r="M34" s="25" t="s">
        <v>299</v>
      </c>
      <c r="N34" s="25" t="s">
        <v>299</v>
      </c>
      <c r="O34" s="25" t="s">
        <v>299</v>
      </c>
      <c r="P34" s="25"/>
      <c r="Q34" s="25"/>
      <c r="R34" s="25"/>
      <c r="S34" s="22">
        <f t="shared" si="0"/>
        <v>12</v>
      </c>
    </row>
    <row r="35" spans="1:19" x14ac:dyDescent="0.2">
      <c r="A35" s="25" t="s">
        <v>364</v>
      </c>
      <c r="B35" s="26" t="s">
        <v>365</v>
      </c>
      <c r="C35" s="25" t="s">
        <v>299</v>
      </c>
      <c r="D35" s="26" t="s">
        <v>299</v>
      </c>
      <c r="E35" s="25" t="s">
        <v>299</v>
      </c>
      <c r="F35" s="25" t="s">
        <v>299</v>
      </c>
      <c r="G35" s="25" t="s">
        <v>299</v>
      </c>
      <c r="H35" s="25" t="s">
        <v>299</v>
      </c>
      <c r="I35" s="25" t="s">
        <v>299</v>
      </c>
      <c r="J35" s="25" t="s">
        <v>299</v>
      </c>
      <c r="K35" s="25" t="s">
        <v>299</v>
      </c>
      <c r="L35" s="25"/>
      <c r="M35" s="25"/>
      <c r="N35" s="25"/>
      <c r="O35" s="25" t="s">
        <v>299</v>
      </c>
      <c r="P35" s="25"/>
      <c r="Q35" s="25"/>
      <c r="R35" s="25"/>
      <c r="S35" s="22">
        <f t="shared" si="0"/>
        <v>9</v>
      </c>
    </row>
    <row r="36" spans="1:19" x14ac:dyDescent="0.2">
      <c r="A36" s="25" t="s">
        <v>366</v>
      </c>
      <c r="B36" s="26" t="s">
        <v>367</v>
      </c>
      <c r="C36" s="25" t="s">
        <v>299</v>
      </c>
      <c r="D36" s="26" t="s">
        <v>299</v>
      </c>
      <c r="E36" s="25" t="s">
        <v>299</v>
      </c>
      <c r="F36" s="25"/>
      <c r="G36" s="25" t="s">
        <v>299</v>
      </c>
      <c r="H36" s="25" t="s">
        <v>299</v>
      </c>
      <c r="I36" s="25"/>
      <c r="J36" s="25"/>
      <c r="K36" s="25" t="s">
        <v>299</v>
      </c>
      <c r="L36" s="25"/>
      <c r="M36" s="25"/>
      <c r="N36" s="25"/>
      <c r="O36" s="25" t="s">
        <v>299</v>
      </c>
      <c r="P36" s="25"/>
      <c r="Q36" s="25"/>
      <c r="R36" s="25"/>
      <c r="S36" s="22">
        <f t="shared" si="0"/>
        <v>6</v>
      </c>
    </row>
    <row r="37" spans="1:19" x14ac:dyDescent="0.2">
      <c r="A37" s="25" t="s">
        <v>368</v>
      </c>
      <c r="B37" s="26" t="s">
        <v>369</v>
      </c>
      <c r="C37" s="25" t="s">
        <v>299</v>
      </c>
      <c r="D37" s="26" t="s">
        <v>299</v>
      </c>
      <c r="E37" s="25" t="s">
        <v>299</v>
      </c>
      <c r="F37" s="25" t="s">
        <v>299</v>
      </c>
      <c r="G37" s="25" t="s">
        <v>299</v>
      </c>
      <c r="H37" s="25" t="s">
        <v>299</v>
      </c>
      <c r="I37" s="25" t="s">
        <v>299</v>
      </c>
      <c r="J37" s="25" t="s">
        <v>299</v>
      </c>
      <c r="K37" s="25" t="s">
        <v>299</v>
      </c>
      <c r="L37" s="25"/>
      <c r="M37" s="25" t="s">
        <v>299</v>
      </c>
      <c r="N37" s="25"/>
      <c r="O37" s="25" t="s">
        <v>299</v>
      </c>
      <c r="P37" s="25"/>
      <c r="Q37" s="25"/>
      <c r="R37" s="25"/>
      <c r="S37" s="22">
        <f t="shared" si="0"/>
        <v>10</v>
      </c>
    </row>
    <row r="38" spans="1:19" x14ac:dyDescent="0.2">
      <c r="A38" s="25" t="s">
        <v>370</v>
      </c>
      <c r="B38" s="26" t="s">
        <v>371</v>
      </c>
      <c r="C38" s="25" t="s">
        <v>299</v>
      </c>
      <c r="D38" s="26" t="s">
        <v>299</v>
      </c>
      <c r="E38" s="25" t="s">
        <v>299</v>
      </c>
      <c r="F38" s="25" t="s">
        <v>299</v>
      </c>
      <c r="G38" s="25" t="s">
        <v>299</v>
      </c>
      <c r="H38" s="25" t="s">
        <v>299</v>
      </c>
      <c r="I38" s="25" t="s">
        <v>299</v>
      </c>
      <c r="J38" s="25" t="s">
        <v>299</v>
      </c>
      <c r="K38" s="25" t="s">
        <v>299</v>
      </c>
      <c r="L38" s="25"/>
      <c r="M38" s="25"/>
      <c r="N38" s="25"/>
      <c r="O38" s="25" t="s">
        <v>299</v>
      </c>
      <c r="P38" s="25"/>
      <c r="Q38" s="25"/>
      <c r="R38" s="25"/>
      <c r="S38" s="22">
        <f t="shared" si="0"/>
        <v>9</v>
      </c>
    </row>
    <row r="39" spans="1:19" x14ac:dyDescent="0.2">
      <c r="A39" s="25" t="s">
        <v>372</v>
      </c>
      <c r="B39" s="26" t="s">
        <v>37</v>
      </c>
      <c r="C39" s="25" t="s">
        <v>299</v>
      </c>
      <c r="D39" s="26" t="s">
        <v>299</v>
      </c>
      <c r="E39" s="25" t="s">
        <v>299</v>
      </c>
      <c r="F39" s="25" t="s">
        <v>299</v>
      </c>
      <c r="G39" s="25" t="s">
        <v>299</v>
      </c>
      <c r="H39" s="25" t="s">
        <v>299</v>
      </c>
      <c r="I39" s="25" t="s">
        <v>299</v>
      </c>
      <c r="J39" s="25" t="s">
        <v>299</v>
      </c>
      <c r="K39" s="25" t="s">
        <v>299</v>
      </c>
      <c r="L39" s="25"/>
      <c r="M39" s="25" t="s">
        <v>299</v>
      </c>
      <c r="N39" s="25" t="s">
        <v>299</v>
      </c>
      <c r="O39" s="25" t="s">
        <v>299</v>
      </c>
      <c r="P39" s="25" t="s">
        <v>299</v>
      </c>
      <c r="Q39" s="25" t="s">
        <v>299</v>
      </c>
      <c r="R39" s="25"/>
      <c r="S39" s="22">
        <f t="shared" si="0"/>
        <v>13</v>
      </c>
    </row>
    <row r="40" spans="1:19" x14ac:dyDescent="0.2">
      <c r="A40" s="25" t="s">
        <v>373</v>
      </c>
      <c r="B40" s="26" t="s">
        <v>374</v>
      </c>
      <c r="C40" s="25" t="s">
        <v>299</v>
      </c>
      <c r="D40" s="26" t="s">
        <v>299</v>
      </c>
      <c r="E40" s="25"/>
      <c r="F40" s="25"/>
      <c r="G40" s="25"/>
      <c r="H40" s="25" t="s">
        <v>299</v>
      </c>
      <c r="I40" s="25"/>
      <c r="J40" s="25" t="s">
        <v>299</v>
      </c>
      <c r="K40" s="25" t="s">
        <v>299</v>
      </c>
      <c r="L40" s="25"/>
      <c r="M40" s="25"/>
      <c r="N40" s="25"/>
      <c r="O40" s="25"/>
      <c r="P40" s="25"/>
      <c r="Q40" s="25"/>
      <c r="R40" s="25"/>
      <c r="S40" s="22">
        <f t="shared" si="0"/>
        <v>4</v>
      </c>
    </row>
    <row r="41" spans="1:19" x14ac:dyDescent="0.2">
      <c r="A41" s="25" t="s">
        <v>375</v>
      </c>
      <c r="B41" s="26" t="s">
        <v>376</v>
      </c>
      <c r="C41" s="25" t="s">
        <v>299</v>
      </c>
      <c r="D41" s="26" t="s">
        <v>299</v>
      </c>
      <c r="E41" s="25" t="s">
        <v>299</v>
      </c>
      <c r="F41" s="25"/>
      <c r="G41" s="25" t="s">
        <v>299</v>
      </c>
      <c r="H41" s="25" t="s">
        <v>299</v>
      </c>
      <c r="I41" s="25" t="s">
        <v>299</v>
      </c>
      <c r="J41" s="25" t="s">
        <v>299</v>
      </c>
      <c r="K41" s="25" t="s">
        <v>299</v>
      </c>
      <c r="L41" s="25"/>
      <c r="M41" s="25"/>
      <c r="N41" s="25"/>
      <c r="O41" s="25" t="s">
        <v>299</v>
      </c>
      <c r="P41" s="25" t="s">
        <v>299</v>
      </c>
      <c r="Q41" s="25"/>
      <c r="R41" s="25"/>
      <c r="S41" s="22">
        <f t="shared" si="0"/>
        <v>9</v>
      </c>
    </row>
    <row r="42" spans="1:19" x14ac:dyDescent="0.2">
      <c r="A42" s="25" t="s">
        <v>377</v>
      </c>
      <c r="B42" s="26" t="s">
        <v>378</v>
      </c>
      <c r="C42" s="25" t="s">
        <v>299</v>
      </c>
      <c r="D42" s="26" t="s">
        <v>299</v>
      </c>
      <c r="E42" s="25"/>
      <c r="F42" s="25" t="s">
        <v>299</v>
      </c>
      <c r="G42" s="25" t="s">
        <v>299</v>
      </c>
      <c r="H42" s="25" t="s">
        <v>299</v>
      </c>
      <c r="I42" s="25" t="s">
        <v>299</v>
      </c>
      <c r="J42" s="25" t="s">
        <v>299</v>
      </c>
      <c r="K42" s="25" t="s">
        <v>299</v>
      </c>
      <c r="L42" s="25"/>
      <c r="M42" s="25"/>
      <c r="N42" s="25"/>
      <c r="O42" s="25"/>
      <c r="P42" s="25"/>
      <c r="Q42" s="25"/>
      <c r="R42" s="25"/>
      <c r="S42" s="22">
        <f t="shared" si="0"/>
        <v>7</v>
      </c>
    </row>
    <row r="43" spans="1:19" x14ac:dyDescent="0.2">
      <c r="A43" s="25" t="s">
        <v>379</v>
      </c>
      <c r="B43" s="26" t="s">
        <v>380</v>
      </c>
      <c r="C43" s="25" t="s">
        <v>299</v>
      </c>
      <c r="D43" s="26"/>
      <c r="E43" s="25"/>
      <c r="F43" s="25"/>
      <c r="G43" s="25"/>
      <c r="H43" s="25" t="s">
        <v>299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2">
        <f t="shared" si="0"/>
        <v>1</v>
      </c>
    </row>
    <row r="44" spans="1:19" x14ac:dyDescent="0.2">
      <c r="A44" s="25" t="s">
        <v>381</v>
      </c>
      <c r="B44" s="26" t="s">
        <v>382</v>
      </c>
      <c r="C44" s="25" t="s">
        <v>299</v>
      </c>
      <c r="D44" s="26" t="s">
        <v>299</v>
      </c>
      <c r="E44" s="25" t="s">
        <v>299</v>
      </c>
      <c r="F44" s="25" t="s">
        <v>299</v>
      </c>
      <c r="G44" s="25" t="s">
        <v>299</v>
      </c>
      <c r="H44" s="25" t="s">
        <v>299</v>
      </c>
      <c r="I44" s="25" t="s">
        <v>299</v>
      </c>
      <c r="J44" s="25" t="s">
        <v>299</v>
      </c>
      <c r="K44" s="25" t="s">
        <v>299</v>
      </c>
      <c r="L44" s="25"/>
      <c r="M44" s="25" t="s">
        <v>299</v>
      </c>
      <c r="N44" s="25"/>
      <c r="O44" s="25" t="s">
        <v>299</v>
      </c>
      <c r="P44" s="25"/>
      <c r="Q44" s="25"/>
      <c r="R44" s="25"/>
      <c r="S44" s="22">
        <f t="shared" si="0"/>
        <v>10</v>
      </c>
    </row>
    <row r="45" spans="1:19" x14ac:dyDescent="0.2">
      <c r="A45" s="25" t="s">
        <v>383</v>
      </c>
      <c r="B45" s="26" t="s">
        <v>384</v>
      </c>
      <c r="C45" s="25" t="s">
        <v>299</v>
      </c>
      <c r="D45" s="26" t="s">
        <v>299</v>
      </c>
      <c r="E45" s="25" t="s">
        <v>299</v>
      </c>
      <c r="F45" s="25" t="s">
        <v>299</v>
      </c>
      <c r="G45" s="25" t="s">
        <v>299</v>
      </c>
      <c r="H45" s="25" t="s">
        <v>299</v>
      </c>
      <c r="I45" s="25" t="s">
        <v>299</v>
      </c>
      <c r="J45" s="25" t="s">
        <v>299</v>
      </c>
      <c r="K45" s="25" t="s">
        <v>299</v>
      </c>
      <c r="L45" s="25"/>
      <c r="M45" s="25" t="s">
        <v>299</v>
      </c>
      <c r="N45" s="25" t="s">
        <v>299</v>
      </c>
      <c r="O45" s="25" t="s">
        <v>299</v>
      </c>
      <c r="P45" s="25" t="s">
        <v>299</v>
      </c>
      <c r="Q45" s="25" t="s">
        <v>299</v>
      </c>
      <c r="R45" s="25"/>
      <c r="S45" s="22">
        <f t="shared" si="0"/>
        <v>13</v>
      </c>
    </row>
    <row r="46" spans="1:19" x14ac:dyDescent="0.2">
      <c r="A46" s="25" t="s">
        <v>385</v>
      </c>
      <c r="B46" s="26" t="s">
        <v>386</v>
      </c>
      <c r="C46" s="25" t="s">
        <v>299</v>
      </c>
      <c r="D46" s="26" t="s">
        <v>299</v>
      </c>
      <c r="E46" s="25" t="s">
        <v>299</v>
      </c>
      <c r="F46" s="25"/>
      <c r="G46" s="25"/>
      <c r="H46" s="25" t="s">
        <v>299</v>
      </c>
      <c r="I46" s="25"/>
      <c r="J46" s="25" t="s">
        <v>299</v>
      </c>
      <c r="K46" s="25" t="s">
        <v>299</v>
      </c>
      <c r="L46" s="25"/>
      <c r="M46" s="25"/>
      <c r="N46" s="25" t="s">
        <v>299</v>
      </c>
      <c r="O46" s="25" t="s">
        <v>299</v>
      </c>
      <c r="P46" s="25"/>
      <c r="Q46" s="25"/>
      <c r="R46" s="25"/>
      <c r="S46" s="22">
        <f t="shared" si="0"/>
        <v>7</v>
      </c>
    </row>
    <row r="47" spans="1:19" x14ac:dyDescent="0.2">
      <c r="A47" s="25" t="s">
        <v>387</v>
      </c>
      <c r="B47" s="26" t="s">
        <v>388</v>
      </c>
      <c r="C47" s="25" t="s">
        <v>299</v>
      </c>
      <c r="D47" s="26" t="s">
        <v>299</v>
      </c>
      <c r="E47" s="25" t="s">
        <v>299</v>
      </c>
      <c r="F47" s="25" t="s">
        <v>299</v>
      </c>
      <c r="G47" s="25" t="s">
        <v>299</v>
      </c>
      <c r="H47" s="25" t="s">
        <v>299</v>
      </c>
      <c r="I47" s="25" t="s">
        <v>299</v>
      </c>
      <c r="J47" s="25" t="s">
        <v>299</v>
      </c>
      <c r="K47" s="25" t="s">
        <v>299</v>
      </c>
      <c r="L47" s="25"/>
      <c r="M47" s="25" t="s">
        <v>299</v>
      </c>
      <c r="N47" s="25"/>
      <c r="O47" s="25" t="s">
        <v>299</v>
      </c>
      <c r="P47" s="25"/>
      <c r="Q47" s="25"/>
      <c r="R47" s="25"/>
      <c r="S47" s="22">
        <f t="shared" si="0"/>
        <v>10</v>
      </c>
    </row>
    <row r="48" spans="1:19" x14ac:dyDescent="0.2">
      <c r="A48" s="25" t="s">
        <v>389</v>
      </c>
      <c r="B48" s="26" t="s">
        <v>390</v>
      </c>
      <c r="C48" s="25" t="s">
        <v>299</v>
      </c>
      <c r="D48" s="26" t="s">
        <v>299</v>
      </c>
      <c r="E48" s="25" t="s">
        <v>299</v>
      </c>
      <c r="F48" s="25" t="s">
        <v>299</v>
      </c>
      <c r="G48" s="25" t="s">
        <v>299</v>
      </c>
      <c r="H48" s="25" t="s">
        <v>299</v>
      </c>
      <c r="I48" s="25" t="s">
        <v>299</v>
      </c>
      <c r="J48" s="25" t="s">
        <v>299</v>
      </c>
      <c r="K48" s="25" t="s">
        <v>299</v>
      </c>
      <c r="L48" s="25" t="s">
        <v>299</v>
      </c>
      <c r="M48" s="25" t="s">
        <v>299</v>
      </c>
      <c r="N48" s="25" t="s">
        <v>299</v>
      </c>
      <c r="O48" s="25" t="s">
        <v>299</v>
      </c>
      <c r="P48" s="25" t="s">
        <v>299</v>
      </c>
      <c r="Q48" s="25" t="s">
        <v>299</v>
      </c>
      <c r="R48" s="25"/>
      <c r="S48" s="22">
        <f t="shared" si="0"/>
        <v>14</v>
      </c>
    </row>
    <row r="49" spans="1:19" x14ac:dyDescent="0.2">
      <c r="A49" s="25" t="s">
        <v>391</v>
      </c>
      <c r="B49" s="26" t="s">
        <v>392</v>
      </c>
      <c r="C49" s="25" t="s">
        <v>299</v>
      </c>
      <c r="D49" s="26" t="s">
        <v>299</v>
      </c>
      <c r="E49" s="25" t="s">
        <v>299</v>
      </c>
      <c r="F49" s="25"/>
      <c r="G49" s="25"/>
      <c r="H49" s="25" t="s">
        <v>299</v>
      </c>
      <c r="I49" s="25"/>
      <c r="J49" s="25"/>
      <c r="K49" s="25" t="s">
        <v>299</v>
      </c>
      <c r="L49" s="25"/>
      <c r="M49" s="25"/>
      <c r="N49" s="25"/>
      <c r="O49" s="25" t="s">
        <v>299</v>
      </c>
      <c r="P49" s="25"/>
      <c r="Q49" s="25"/>
      <c r="R49" s="25"/>
      <c r="S49" s="22">
        <f t="shared" si="0"/>
        <v>5</v>
      </c>
    </row>
    <row r="50" spans="1:19" x14ac:dyDescent="0.2">
      <c r="A50" s="25" t="s">
        <v>393</v>
      </c>
      <c r="B50" s="26" t="s">
        <v>394</v>
      </c>
      <c r="C50" s="25" t="s">
        <v>299</v>
      </c>
      <c r="D50" s="26" t="s">
        <v>299</v>
      </c>
      <c r="E50" s="25"/>
      <c r="F50" s="25"/>
      <c r="G50" s="25"/>
      <c r="H50" s="25" t="s">
        <v>299</v>
      </c>
      <c r="I50" s="25"/>
      <c r="J50" s="25" t="s">
        <v>299</v>
      </c>
      <c r="K50" s="25" t="s">
        <v>299</v>
      </c>
      <c r="L50" s="25"/>
      <c r="M50" s="25"/>
      <c r="N50" s="25"/>
      <c r="O50" s="25" t="s">
        <v>299</v>
      </c>
      <c r="P50" s="25"/>
      <c r="Q50" s="25"/>
      <c r="R50" s="25"/>
      <c r="S50" s="22">
        <f t="shared" si="0"/>
        <v>5</v>
      </c>
    </row>
    <row r="51" spans="1:19" x14ac:dyDescent="0.2">
      <c r="A51" s="25" t="s">
        <v>395</v>
      </c>
      <c r="B51" s="26" t="s">
        <v>303</v>
      </c>
      <c r="C51" s="25" t="s">
        <v>299</v>
      </c>
      <c r="D51" s="26" t="s">
        <v>299</v>
      </c>
      <c r="E51" s="25" t="s">
        <v>299</v>
      </c>
      <c r="F51" s="25" t="s">
        <v>299</v>
      </c>
      <c r="G51" s="25" t="s">
        <v>299</v>
      </c>
      <c r="H51" s="25" t="s">
        <v>299</v>
      </c>
      <c r="I51" s="25" t="s">
        <v>299</v>
      </c>
      <c r="J51" s="25" t="s">
        <v>299</v>
      </c>
      <c r="K51" s="25" t="s">
        <v>299</v>
      </c>
      <c r="L51" s="25"/>
      <c r="M51" s="25" t="s">
        <v>299</v>
      </c>
      <c r="N51" s="25"/>
      <c r="O51" s="25" t="s">
        <v>299</v>
      </c>
      <c r="P51" s="25" t="s">
        <v>299</v>
      </c>
      <c r="Q51" s="25"/>
      <c r="R51" s="25"/>
      <c r="S51" s="22">
        <f t="shared" si="0"/>
        <v>11</v>
      </c>
    </row>
    <row r="52" spans="1:19" x14ac:dyDescent="0.2">
      <c r="A52" s="25" t="s">
        <v>396</v>
      </c>
      <c r="B52" s="26" t="s">
        <v>397</v>
      </c>
      <c r="C52" s="25" t="s">
        <v>299</v>
      </c>
      <c r="D52" s="26" t="s">
        <v>299</v>
      </c>
      <c r="E52" s="25" t="s">
        <v>299</v>
      </c>
      <c r="F52" s="25"/>
      <c r="G52" s="25" t="s">
        <v>299</v>
      </c>
      <c r="H52" s="25" t="s">
        <v>299</v>
      </c>
      <c r="I52" s="25" t="s">
        <v>299</v>
      </c>
      <c r="J52" s="25" t="s">
        <v>299</v>
      </c>
      <c r="K52" s="25" t="s">
        <v>299</v>
      </c>
      <c r="L52" s="25"/>
      <c r="M52" s="25"/>
      <c r="N52" s="25"/>
      <c r="O52" s="25" t="s">
        <v>299</v>
      </c>
      <c r="P52" s="25"/>
      <c r="Q52" s="25"/>
      <c r="R52" s="25"/>
      <c r="S52" s="22">
        <f t="shared" si="0"/>
        <v>8</v>
      </c>
    </row>
    <row r="53" spans="1:19" x14ac:dyDescent="0.2">
      <c r="A53" s="25" t="s">
        <v>398</v>
      </c>
      <c r="B53" s="26" t="s">
        <v>399</v>
      </c>
      <c r="C53" s="25" t="s">
        <v>299</v>
      </c>
      <c r="D53" s="26" t="s">
        <v>299</v>
      </c>
      <c r="E53" s="25" t="s">
        <v>299</v>
      </c>
      <c r="F53" s="25" t="s">
        <v>299</v>
      </c>
      <c r="G53" s="25" t="s">
        <v>299</v>
      </c>
      <c r="H53" s="25" t="s">
        <v>299</v>
      </c>
      <c r="I53" s="25" t="s">
        <v>299</v>
      </c>
      <c r="J53" s="25" t="s">
        <v>299</v>
      </c>
      <c r="K53" s="25" t="s">
        <v>299</v>
      </c>
      <c r="L53" s="25"/>
      <c r="M53" s="25" t="s">
        <v>299</v>
      </c>
      <c r="N53" s="25" t="s">
        <v>299</v>
      </c>
      <c r="O53" s="25" t="s">
        <v>299</v>
      </c>
      <c r="P53" s="25" t="s">
        <v>299</v>
      </c>
      <c r="Q53" s="25" t="s">
        <v>299</v>
      </c>
      <c r="R53" s="25"/>
      <c r="S53" s="22">
        <f t="shared" si="0"/>
        <v>13</v>
      </c>
    </row>
    <row r="54" spans="1:19" x14ac:dyDescent="0.2">
      <c r="A54" s="25" t="s">
        <v>400</v>
      </c>
      <c r="B54" s="26" t="s">
        <v>401</v>
      </c>
      <c r="C54" s="25" t="s">
        <v>299</v>
      </c>
      <c r="D54" s="26" t="s">
        <v>299</v>
      </c>
      <c r="E54" s="25" t="s">
        <v>299</v>
      </c>
      <c r="F54" s="25" t="s">
        <v>299</v>
      </c>
      <c r="G54" s="25" t="s">
        <v>299</v>
      </c>
      <c r="H54" s="25" t="s">
        <v>299</v>
      </c>
      <c r="I54" s="25" t="s">
        <v>299</v>
      </c>
      <c r="J54" s="25" t="s">
        <v>299</v>
      </c>
      <c r="K54" s="25" t="s">
        <v>299</v>
      </c>
      <c r="L54" s="25"/>
      <c r="M54" s="25" t="s">
        <v>299</v>
      </c>
      <c r="N54" s="25"/>
      <c r="O54" s="25" t="s">
        <v>299</v>
      </c>
      <c r="P54" s="25"/>
      <c r="Q54" s="25"/>
      <c r="R54" s="25"/>
      <c r="S54" s="22">
        <f t="shared" si="0"/>
        <v>10</v>
      </c>
    </row>
    <row r="55" spans="1:19" x14ac:dyDescent="0.2">
      <c r="A55" s="25" t="s">
        <v>402</v>
      </c>
      <c r="B55" s="26" t="s">
        <v>403</v>
      </c>
      <c r="C55" s="25" t="s">
        <v>299</v>
      </c>
      <c r="D55" s="26" t="s">
        <v>299</v>
      </c>
      <c r="E55" s="25" t="s">
        <v>299</v>
      </c>
      <c r="F55" s="25"/>
      <c r="G55" s="25" t="s">
        <v>299</v>
      </c>
      <c r="H55" s="25" t="s">
        <v>299</v>
      </c>
      <c r="I55" s="25" t="s">
        <v>299</v>
      </c>
      <c r="J55" s="25" t="s">
        <v>299</v>
      </c>
      <c r="K55" s="25" t="s">
        <v>299</v>
      </c>
      <c r="L55" s="25"/>
      <c r="M55" s="25"/>
      <c r="N55" s="25"/>
      <c r="O55" s="25" t="s">
        <v>299</v>
      </c>
      <c r="P55" s="25"/>
      <c r="Q55" s="25"/>
      <c r="R55" s="25"/>
      <c r="S55" s="22">
        <f t="shared" si="0"/>
        <v>8</v>
      </c>
    </row>
    <row r="56" spans="1:19" x14ac:dyDescent="0.2">
      <c r="A56" s="25" t="s">
        <v>404</v>
      </c>
      <c r="B56" s="26" t="s">
        <v>405</v>
      </c>
      <c r="C56" s="25" t="s">
        <v>299</v>
      </c>
      <c r="D56" s="26" t="s">
        <v>299</v>
      </c>
      <c r="E56" s="25"/>
      <c r="F56" s="25" t="s">
        <v>299</v>
      </c>
      <c r="G56" s="25" t="s">
        <v>299</v>
      </c>
      <c r="H56" s="25" t="s">
        <v>299</v>
      </c>
      <c r="I56" s="25" t="s">
        <v>299</v>
      </c>
      <c r="J56" s="25" t="s">
        <v>299</v>
      </c>
      <c r="K56" s="25" t="s">
        <v>299</v>
      </c>
      <c r="L56" s="25" t="s">
        <v>299</v>
      </c>
      <c r="M56" s="25" t="s">
        <v>299</v>
      </c>
      <c r="N56" s="25" t="s">
        <v>299</v>
      </c>
      <c r="O56" s="25" t="s">
        <v>299</v>
      </c>
      <c r="P56" s="25" t="s">
        <v>299</v>
      </c>
      <c r="Q56" s="25" t="s">
        <v>299</v>
      </c>
      <c r="R56" s="25"/>
      <c r="S56" s="22">
        <f t="shared" si="0"/>
        <v>13</v>
      </c>
    </row>
    <row r="57" spans="1:19" x14ac:dyDescent="0.2">
      <c r="A57" s="25" t="s">
        <v>406</v>
      </c>
      <c r="B57" s="26" t="s">
        <v>298</v>
      </c>
      <c r="C57" s="25" t="s">
        <v>299</v>
      </c>
      <c r="D57" s="26" t="s">
        <v>299</v>
      </c>
      <c r="E57" s="25" t="s">
        <v>299</v>
      </c>
      <c r="F57" s="25" t="s">
        <v>299</v>
      </c>
      <c r="G57" s="25" t="s">
        <v>299</v>
      </c>
      <c r="H57" s="25" t="s">
        <v>299</v>
      </c>
      <c r="I57" s="25" t="s">
        <v>299</v>
      </c>
      <c r="J57" s="25" t="s">
        <v>299</v>
      </c>
      <c r="K57" s="25" t="s">
        <v>299</v>
      </c>
      <c r="L57" s="25"/>
      <c r="M57" s="25"/>
      <c r="N57" s="25"/>
      <c r="O57" s="25" t="s">
        <v>299</v>
      </c>
      <c r="P57" s="25"/>
      <c r="Q57" s="25"/>
      <c r="R57" s="25"/>
      <c r="S57" s="22">
        <f t="shared" si="0"/>
        <v>9</v>
      </c>
    </row>
    <row r="58" spans="1:19" x14ac:dyDescent="0.2">
      <c r="A58" s="25" t="s">
        <v>407</v>
      </c>
      <c r="B58" s="26" t="s">
        <v>408</v>
      </c>
      <c r="C58" s="25" t="s">
        <v>299</v>
      </c>
      <c r="D58" s="26"/>
      <c r="E58" s="25"/>
      <c r="F58" s="25"/>
      <c r="G58" s="25"/>
      <c r="H58" s="25"/>
      <c r="I58" s="25"/>
      <c r="J58" s="25" t="s">
        <v>299</v>
      </c>
      <c r="K58" s="25"/>
      <c r="L58" s="25"/>
      <c r="M58" s="25"/>
      <c r="N58" s="25"/>
      <c r="O58" s="25" t="s">
        <v>299</v>
      </c>
      <c r="P58" s="25"/>
      <c r="Q58" s="25"/>
      <c r="R58" s="25"/>
      <c r="S58" s="22">
        <f t="shared" si="0"/>
        <v>2</v>
      </c>
    </row>
    <row r="59" spans="1:19" x14ac:dyDescent="0.2">
      <c r="A59" s="25" t="s">
        <v>409</v>
      </c>
      <c r="B59" s="26" t="s">
        <v>410</v>
      </c>
      <c r="C59" s="25" t="s">
        <v>299</v>
      </c>
      <c r="D59" s="26" t="s">
        <v>299</v>
      </c>
      <c r="E59" s="25" t="s">
        <v>299</v>
      </c>
      <c r="F59" s="25"/>
      <c r="G59" s="25" t="s">
        <v>299</v>
      </c>
      <c r="H59" s="25" t="s">
        <v>299</v>
      </c>
      <c r="I59" s="25" t="s">
        <v>299</v>
      </c>
      <c r="J59" s="25" t="s">
        <v>299</v>
      </c>
      <c r="K59" s="25" t="s">
        <v>299</v>
      </c>
      <c r="L59" s="25"/>
      <c r="M59" s="25"/>
      <c r="N59" s="25"/>
      <c r="O59" s="25" t="s">
        <v>299</v>
      </c>
      <c r="P59" s="25"/>
      <c r="Q59" s="25"/>
      <c r="R59" s="25"/>
      <c r="S59" s="22">
        <f t="shared" si="0"/>
        <v>8</v>
      </c>
    </row>
    <row r="60" spans="1:19" x14ac:dyDescent="0.2">
      <c r="A60" s="25" t="s">
        <v>411</v>
      </c>
      <c r="B60" s="26" t="s">
        <v>412</v>
      </c>
      <c r="C60" s="25" t="s">
        <v>299</v>
      </c>
      <c r="D60" s="26" t="s">
        <v>299</v>
      </c>
      <c r="E60" s="25"/>
      <c r="F60" s="25"/>
      <c r="G60" s="25" t="s">
        <v>299</v>
      </c>
      <c r="H60" s="25" t="s">
        <v>299</v>
      </c>
      <c r="I60" s="25" t="s">
        <v>299</v>
      </c>
      <c r="J60" s="25" t="s">
        <v>299</v>
      </c>
      <c r="K60" s="25" t="s">
        <v>299</v>
      </c>
      <c r="L60" s="25"/>
      <c r="M60" s="25"/>
      <c r="N60" s="25"/>
      <c r="O60" s="25" t="s">
        <v>299</v>
      </c>
      <c r="P60" s="25"/>
      <c r="Q60" s="25"/>
      <c r="R60" s="25"/>
      <c r="S60" s="22">
        <f t="shared" si="0"/>
        <v>7</v>
      </c>
    </row>
    <row r="61" spans="1:19" x14ac:dyDescent="0.2">
      <c r="A61" s="25" t="s">
        <v>413</v>
      </c>
      <c r="B61" s="26" t="s">
        <v>414</v>
      </c>
      <c r="C61" s="25" t="s">
        <v>299</v>
      </c>
      <c r="D61" s="26" t="s">
        <v>299</v>
      </c>
      <c r="E61" s="25" t="s">
        <v>299</v>
      </c>
      <c r="F61" s="25" t="s">
        <v>299</v>
      </c>
      <c r="G61" s="25" t="s">
        <v>299</v>
      </c>
      <c r="H61" s="25" t="s">
        <v>299</v>
      </c>
      <c r="I61" s="25" t="s">
        <v>299</v>
      </c>
      <c r="J61" s="25" t="s">
        <v>299</v>
      </c>
      <c r="K61" s="25" t="s">
        <v>299</v>
      </c>
      <c r="L61" s="25"/>
      <c r="M61" s="25"/>
      <c r="N61" s="25"/>
      <c r="O61" s="25" t="s">
        <v>299</v>
      </c>
      <c r="P61" s="25"/>
      <c r="Q61" s="25"/>
      <c r="R61" s="25"/>
      <c r="S61" s="22">
        <f t="shared" si="0"/>
        <v>9</v>
      </c>
    </row>
    <row r="62" spans="1:19" x14ac:dyDescent="0.2">
      <c r="A62" s="25" t="s">
        <v>415</v>
      </c>
      <c r="B62" s="26" t="s">
        <v>59</v>
      </c>
      <c r="C62" s="25" t="s">
        <v>299</v>
      </c>
      <c r="D62" s="26" t="s">
        <v>299</v>
      </c>
      <c r="E62" s="25" t="s">
        <v>299</v>
      </c>
      <c r="F62" s="25" t="s">
        <v>299</v>
      </c>
      <c r="G62" s="25" t="s">
        <v>299</v>
      </c>
      <c r="H62" s="25" t="s">
        <v>299</v>
      </c>
      <c r="I62" s="25" t="s">
        <v>299</v>
      </c>
      <c r="J62" s="25" t="s">
        <v>299</v>
      </c>
      <c r="K62" s="25" t="s">
        <v>299</v>
      </c>
      <c r="L62" s="25"/>
      <c r="M62" s="25"/>
      <c r="N62" s="25"/>
      <c r="O62" s="25" t="s">
        <v>299</v>
      </c>
      <c r="P62" s="25"/>
      <c r="Q62" s="25"/>
      <c r="R62" s="25"/>
      <c r="S62" s="22">
        <f t="shared" si="0"/>
        <v>9</v>
      </c>
    </row>
    <row r="63" spans="1:19" x14ac:dyDescent="0.2">
      <c r="A63" s="25" t="s">
        <v>416</v>
      </c>
      <c r="B63" s="26" t="s">
        <v>417</v>
      </c>
      <c r="C63" s="25" t="s">
        <v>299</v>
      </c>
      <c r="D63" s="26" t="s">
        <v>299</v>
      </c>
      <c r="E63" s="25"/>
      <c r="F63" s="25"/>
      <c r="G63" s="25"/>
      <c r="H63" s="25" t="s">
        <v>299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2">
        <f t="shared" si="0"/>
        <v>2</v>
      </c>
    </row>
    <row r="64" spans="1:19" x14ac:dyDescent="0.2">
      <c r="A64" s="25" t="s">
        <v>418</v>
      </c>
      <c r="B64" s="26" t="s">
        <v>419</v>
      </c>
      <c r="C64" s="25" t="s">
        <v>299</v>
      </c>
      <c r="D64" s="26"/>
      <c r="E64" s="25" t="s">
        <v>299</v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2">
        <f t="shared" si="0"/>
        <v>1</v>
      </c>
    </row>
    <row r="65" spans="1:19" x14ac:dyDescent="0.2">
      <c r="A65" s="25" t="s">
        <v>420</v>
      </c>
      <c r="B65" s="26" t="s">
        <v>421</v>
      </c>
      <c r="C65" s="25" t="s">
        <v>299</v>
      </c>
      <c r="D65" s="26" t="s">
        <v>299</v>
      </c>
      <c r="E65" s="25" t="s">
        <v>299</v>
      </c>
      <c r="F65" s="25" t="s">
        <v>299</v>
      </c>
      <c r="G65" s="25" t="s">
        <v>299</v>
      </c>
      <c r="H65" s="25" t="s">
        <v>299</v>
      </c>
      <c r="I65" s="25" t="s">
        <v>299</v>
      </c>
      <c r="J65" s="25" t="s">
        <v>299</v>
      </c>
      <c r="K65" s="25" t="s">
        <v>299</v>
      </c>
      <c r="L65" s="25"/>
      <c r="M65" s="25" t="s">
        <v>299</v>
      </c>
      <c r="N65" s="25"/>
      <c r="O65" s="25" t="s">
        <v>299</v>
      </c>
      <c r="P65" s="25"/>
      <c r="Q65" s="25"/>
      <c r="R65" s="25"/>
      <c r="S65" s="22">
        <f t="shared" si="0"/>
        <v>10</v>
      </c>
    </row>
    <row r="66" spans="1:19" x14ac:dyDescent="0.2">
      <c r="A66" s="25" t="s">
        <v>422</v>
      </c>
      <c r="B66" s="26" t="s">
        <v>423</v>
      </c>
      <c r="C66" s="25"/>
      <c r="D66" s="26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2">
        <f t="shared" si="0"/>
        <v>0</v>
      </c>
    </row>
    <row r="67" spans="1:19" x14ac:dyDescent="0.2">
      <c r="A67" s="25" t="s">
        <v>424</v>
      </c>
      <c r="B67" s="26" t="s">
        <v>425</v>
      </c>
      <c r="C67" s="25" t="s">
        <v>299</v>
      </c>
      <c r="D67" s="26" t="s">
        <v>299</v>
      </c>
      <c r="E67" s="25" t="s">
        <v>299</v>
      </c>
      <c r="F67" s="25" t="s">
        <v>299</v>
      </c>
      <c r="G67" s="25" t="s">
        <v>299</v>
      </c>
      <c r="H67" s="25" t="s">
        <v>299</v>
      </c>
      <c r="I67" s="25" t="s">
        <v>299</v>
      </c>
      <c r="J67" s="25" t="s">
        <v>299</v>
      </c>
      <c r="K67" s="25" t="s">
        <v>299</v>
      </c>
      <c r="L67" s="25"/>
      <c r="M67" s="25"/>
      <c r="N67" s="25"/>
      <c r="O67" s="25" t="s">
        <v>299</v>
      </c>
      <c r="P67" s="25"/>
      <c r="Q67" s="25"/>
      <c r="R67" s="25"/>
      <c r="S67" s="22">
        <f t="shared" ref="S67:S100" si="1">COUNTIF(D67:R67, "FP")</f>
        <v>9</v>
      </c>
    </row>
    <row r="68" spans="1:19" x14ac:dyDescent="0.2">
      <c r="A68" s="25" t="s">
        <v>426</v>
      </c>
      <c r="B68" s="26" t="s">
        <v>303</v>
      </c>
      <c r="C68" s="25" t="s">
        <v>299</v>
      </c>
      <c r="D68" s="26" t="s">
        <v>299</v>
      </c>
      <c r="E68" s="25"/>
      <c r="F68" s="25"/>
      <c r="G68" s="25" t="s">
        <v>299</v>
      </c>
      <c r="H68" s="25" t="s">
        <v>299</v>
      </c>
      <c r="I68" s="25" t="s">
        <v>299</v>
      </c>
      <c r="J68" s="25" t="s">
        <v>299</v>
      </c>
      <c r="K68" s="25" t="s">
        <v>299</v>
      </c>
      <c r="L68" s="25"/>
      <c r="M68" s="25"/>
      <c r="N68" s="25"/>
      <c r="O68" s="25" t="s">
        <v>299</v>
      </c>
      <c r="P68" s="25"/>
      <c r="Q68" s="25"/>
      <c r="R68" s="25"/>
      <c r="S68" s="22">
        <f t="shared" si="1"/>
        <v>7</v>
      </c>
    </row>
    <row r="69" spans="1:19" x14ac:dyDescent="0.2">
      <c r="A69" s="25" t="s">
        <v>427</v>
      </c>
      <c r="B69" s="26" t="s">
        <v>428</v>
      </c>
      <c r="C69" s="25" t="s">
        <v>299</v>
      </c>
      <c r="D69" s="26" t="s">
        <v>299</v>
      </c>
      <c r="E69" s="25" t="s">
        <v>299</v>
      </c>
      <c r="F69" s="25" t="s">
        <v>299</v>
      </c>
      <c r="G69" s="25" t="s">
        <v>299</v>
      </c>
      <c r="H69" s="25" t="s">
        <v>299</v>
      </c>
      <c r="I69" s="25" t="s">
        <v>299</v>
      </c>
      <c r="J69" s="25" t="s">
        <v>299</v>
      </c>
      <c r="K69" s="25" t="s">
        <v>299</v>
      </c>
      <c r="L69" s="25"/>
      <c r="M69" s="25" t="s">
        <v>299</v>
      </c>
      <c r="N69" s="25"/>
      <c r="O69" s="25" t="s">
        <v>299</v>
      </c>
      <c r="P69" s="25"/>
      <c r="Q69" s="25"/>
      <c r="R69" s="25"/>
      <c r="S69" s="22">
        <f t="shared" si="1"/>
        <v>10</v>
      </c>
    </row>
    <row r="70" spans="1:19" x14ac:dyDescent="0.2">
      <c r="A70" s="25" t="s">
        <v>429</v>
      </c>
      <c r="B70" s="26" t="s">
        <v>430</v>
      </c>
      <c r="C70" s="25" t="s">
        <v>299</v>
      </c>
      <c r="D70" s="26"/>
      <c r="E70" s="25" t="s">
        <v>299</v>
      </c>
      <c r="F70" s="25"/>
      <c r="G70" s="25" t="s">
        <v>299</v>
      </c>
      <c r="H70" s="25" t="s">
        <v>299</v>
      </c>
      <c r="I70" s="25" t="s">
        <v>299</v>
      </c>
      <c r="J70" s="25" t="s">
        <v>299</v>
      </c>
      <c r="K70" s="25" t="s">
        <v>299</v>
      </c>
      <c r="L70" s="25"/>
      <c r="M70" s="25"/>
      <c r="N70" s="25"/>
      <c r="O70" s="25"/>
      <c r="P70" s="25"/>
      <c r="Q70" s="25"/>
      <c r="R70" s="25"/>
      <c r="S70" s="22">
        <f t="shared" si="1"/>
        <v>6</v>
      </c>
    </row>
    <row r="71" spans="1:19" x14ac:dyDescent="0.2">
      <c r="A71" s="25" t="s">
        <v>431</v>
      </c>
      <c r="B71" s="26" t="s">
        <v>432</v>
      </c>
      <c r="C71" s="25" t="s">
        <v>299</v>
      </c>
      <c r="D71" s="26" t="s">
        <v>299</v>
      </c>
      <c r="E71" s="25" t="s">
        <v>299</v>
      </c>
      <c r="F71" s="25" t="s">
        <v>299</v>
      </c>
      <c r="G71" s="25" t="s">
        <v>299</v>
      </c>
      <c r="H71" s="25" t="s">
        <v>299</v>
      </c>
      <c r="I71" s="25" t="s">
        <v>299</v>
      </c>
      <c r="J71" s="25" t="s">
        <v>299</v>
      </c>
      <c r="K71" s="25" t="s">
        <v>299</v>
      </c>
      <c r="L71" s="25"/>
      <c r="M71" s="25"/>
      <c r="N71" s="25"/>
      <c r="O71" s="25" t="s">
        <v>299</v>
      </c>
      <c r="P71" s="25"/>
      <c r="Q71" s="25"/>
      <c r="R71" s="25"/>
      <c r="S71" s="22">
        <f t="shared" si="1"/>
        <v>9</v>
      </c>
    </row>
    <row r="72" spans="1:19" x14ac:dyDescent="0.2">
      <c r="A72" s="25" t="s">
        <v>433</v>
      </c>
      <c r="B72" s="26" t="s">
        <v>434</v>
      </c>
      <c r="C72" s="25" t="s">
        <v>299</v>
      </c>
      <c r="D72" s="26" t="s">
        <v>299</v>
      </c>
      <c r="E72" s="25"/>
      <c r="F72" s="25" t="s">
        <v>299</v>
      </c>
      <c r="G72" s="25" t="s">
        <v>299</v>
      </c>
      <c r="H72" s="25" t="s">
        <v>299</v>
      </c>
      <c r="I72" s="25" t="s">
        <v>299</v>
      </c>
      <c r="J72" s="25" t="s">
        <v>299</v>
      </c>
      <c r="K72" s="25" t="s">
        <v>299</v>
      </c>
      <c r="L72" s="25"/>
      <c r="M72" s="25"/>
      <c r="N72" s="25" t="s">
        <v>299</v>
      </c>
      <c r="O72" s="25" t="s">
        <v>299</v>
      </c>
      <c r="P72" s="25"/>
      <c r="Q72" s="25"/>
      <c r="R72" s="25"/>
      <c r="S72" s="22">
        <f t="shared" si="1"/>
        <v>9</v>
      </c>
    </row>
    <row r="73" spans="1:19" x14ac:dyDescent="0.2">
      <c r="A73" s="25" t="s">
        <v>435</v>
      </c>
      <c r="B73" s="26" t="s">
        <v>436</v>
      </c>
      <c r="C73" s="25" t="s">
        <v>299</v>
      </c>
      <c r="D73" s="26" t="s">
        <v>299</v>
      </c>
      <c r="E73" s="25"/>
      <c r="F73" s="25" t="s">
        <v>299</v>
      </c>
      <c r="G73" s="25" t="s">
        <v>299</v>
      </c>
      <c r="H73" s="25" t="s">
        <v>299</v>
      </c>
      <c r="I73" s="25" t="s">
        <v>299</v>
      </c>
      <c r="J73" s="25" t="s">
        <v>299</v>
      </c>
      <c r="K73" s="25" t="s">
        <v>299</v>
      </c>
      <c r="L73" s="25"/>
      <c r="M73" s="25"/>
      <c r="N73" s="25"/>
      <c r="O73" s="25"/>
      <c r="P73" s="25"/>
      <c r="Q73" s="25"/>
      <c r="R73" s="25"/>
      <c r="S73" s="22">
        <f t="shared" si="1"/>
        <v>7</v>
      </c>
    </row>
    <row r="74" spans="1:19" x14ac:dyDescent="0.2">
      <c r="A74" s="25" t="s">
        <v>437</v>
      </c>
      <c r="B74" s="26" t="s">
        <v>438</v>
      </c>
      <c r="C74" s="25" t="s">
        <v>299</v>
      </c>
      <c r="D74" s="26" t="s">
        <v>299</v>
      </c>
      <c r="E74" s="25" t="s">
        <v>299</v>
      </c>
      <c r="F74" s="25" t="s">
        <v>299</v>
      </c>
      <c r="G74" s="25" t="s">
        <v>299</v>
      </c>
      <c r="H74" s="25" t="s">
        <v>299</v>
      </c>
      <c r="I74" s="25" t="s">
        <v>299</v>
      </c>
      <c r="J74" s="25" t="s">
        <v>299</v>
      </c>
      <c r="K74" s="25" t="s">
        <v>299</v>
      </c>
      <c r="L74" s="25"/>
      <c r="M74" s="25" t="s">
        <v>299</v>
      </c>
      <c r="N74" s="25" t="s">
        <v>299</v>
      </c>
      <c r="O74" s="25" t="s">
        <v>299</v>
      </c>
      <c r="P74" s="25" t="s">
        <v>299</v>
      </c>
      <c r="Q74" s="25" t="s">
        <v>299</v>
      </c>
      <c r="R74" s="25"/>
      <c r="S74" s="22">
        <f t="shared" si="1"/>
        <v>13</v>
      </c>
    </row>
    <row r="75" spans="1:19" x14ac:dyDescent="0.2">
      <c r="A75" s="25" t="s">
        <v>439</v>
      </c>
      <c r="B75" s="26" t="s">
        <v>440</v>
      </c>
      <c r="C75" s="25" t="s">
        <v>299</v>
      </c>
      <c r="D75" s="26" t="s">
        <v>299</v>
      </c>
      <c r="E75" s="25"/>
      <c r="F75" s="25" t="s">
        <v>299</v>
      </c>
      <c r="G75" s="25" t="s">
        <v>299</v>
      </c>
      <c r="H75" s="25" t="s">
        <v>299</v>
      </c>
      <c r="I75" s="25"/>
      <c r="J75" s="25" t="s">
        <v>299</v>
      </c>
      <c r="K75" s="25"/>
      <c r="L75" s="25"/>
      <c r="M75" s="25"/>
      <c r="N75" s="25"/>
      <c r="O75" s="25" t="s">
        <v>299</v>
      </c>
      <c r="P75" s="25"/>
      <c r="Q75" s="25"/>
      <c r="R75" s="25"/>
      <c r="S75" s="22">
        <f t="shared" si="1"/>
        <v>6</v>
      </c>
    </row>
    <row r="76" spans="1:19" x14ac:dyDescent="0.2">
      <c r="A76" s="25" t="s">
        <v>441</v>
      </c>
      <c r="B76" s="26" t="s">
        <v>376</v>
      </c>
      <c r="C76" s="25" t="s">
        <v>299</v>
      </c>
      <c r="D76" s="26" t="s">
        <v>299</v>
      </c>
      <c r="E76" s="25" t="s">
        <v>299</v>
      </c>
      <c r="F76" s="25" t="s">
        <v>299</v>
      </c>
      <c r="G76" s="25" t="s">
        <v>299</v>
      </c>
      <c r="H76" s="25" t="s">
        <v>299</v>
      </c>
      <c r="I76" s="25" t="s">
        <v>299</v>
      </c>
      <c r="J76" s="25" t="s">
        <v>299</v>
      </c>
      <c r="K76" s="25" t="s">
        <v>299</v>
      </c>
      <c r="L76" s="25"/>
      <c r="M76" s="25" t="s">
        <v>299</v>
      </c>
      <c r="N76" s="25" t="s">
        <v>299</v>
      </c>
      <c r="O76" s="25" t="s">
        <v>299</v>
      </c>
      <c r="P76" s="25" t="s">
        <v>299</v>
      </c>
      <c r="Q76" s="25"/>
      <c r="R76" s="25" t="s">
        <v>299</v>
      </c>
      <c r="S76" s="22">
        <f t="shared" si="1"/>
        <v>13</v>
      </c>
    </row>
    <row r="77" spans="1:19" x14ac:dyDescent="0.2">
      <c r="A77" s="25" t="s">
        <v>442</v>
      </c>
      <c r="B77" s="26" t="s">
        <v>443</v>
      </c>
      <c r="C77" s="25" t="s">
        <v>299</v>
      </c>
      <c r="D77" s="26"/>
      <c r="E77" s="25"/>
      <c r="F77" s="25"/>
      <c r="G77" s="25" t="s">
        <v>299</v>
      </c>
      <c r="H77" s="25" t="s">
        <v>299</v>
      </c>
      <c r="I77" s="25" t="s">
        <v>299</v>
      </c>
      <c r="J77" s="25"/>
      <c r="K77" s="25"/>
      <c r="L77" s="25"/>
      <c r="M77" s="25"/>
      <c r="N77" s="25"/>
      <c r="O77" s="25"/>
      <c r="P77" s="25"/>
      <c r="Q77" s="25"/>
      <c r="R77" s="25"/>
      <c r="S77" s="22">
        <f t="shared" si="1"/>
        <v>3</v>
      </c>
    </row>
    <row r="78" spans="1:19" x14ac:dyDescent="0.2">
      <c r="A78" s="25" t="s">
        <v>444</v>
      </c>
      <c r="B78" s="26" t="s">
        <v>445</v>
      </c>
      <c r="C78" s="25" t="s">
        <v>299</v>
      </c>
      <c r="D78" s="26" t="s">
        <v>299</v>
      </c>
      <c r="E78" s="25" t="s">
        <v>299</v>
      </c>
      <c r="F78" s="25" t="s">
        <v>299</v>
      </c>
      <c r="G78" s="25" t="s">
        <v>299</v>
      </c>
      <c r="H78" s="25" t="s">
        <v>299</v>
      </c>
      <c r="I78" s="25" t="s">
        <v>299</v>
      </c>
      <c r="J78" s="25" t="s">
        <v>299</v>
      </c>
      <c r="K78" s="25" t="s">
        <v>299</v>
      </c>
      <c r="L78" s="25"/>
      <c r="M78" s="25" t="s">
        <v>299</v>
      </c>
      <c r="N78" s="25" t="s">
        <v>299</v>
      </c>
      <c r="O78" s="25" t="s">
        <v>299</v>
      </c>
      <c r="P78" s="25" t="s">
        <v>299</v>
      </c>
      <c r="Q78" s="25" t="s">
        <v>299</v>
      </c>
      <c r="R78" s="25"/>
      <c r="S78" s="22">
        <f t="shared" si="1"/>
        <v>13</v>
      </c>
    </row>
    <row r="79" spans="1:19" x14ac:dyDescent="0.2">
      <c r="A79" s="25" t="s">
        <v>446</v>
      </c>
      <c r="B79" s="26" t="s">
        <v>447</v>
      </c>
      <c r="C79" s="25" t="s">
        <v>299</v>
      </c>
      <c r="D79" s="26"/>
      <c r="E79" s="25"/>
      <c r="F79" s="25"/>
      <c r="G79" s="25" t="s">
        <v>299</v>
      </c>
      <c r="H79" s="25" t="s">
        <v>299</v>
      </c>
      <c r="I79" s="25" t="s">
        <v>299</v>
      </c>
      <c r="J79" s="25"/>
      <c r="K79" s="25"/>
      <c r="L79" s="25"/>
      <c r="M79" s="25"/>
      <c r="N79" s="25"/>
      <c r="O79" s="25"/>
      <c r="P79" s="25"/>
      <c r="Q79" s="25"/>
      <c r="R79" s="25"/>
      <c r="S79" s="22">
        <f t="shared" si="1"/>
        <v>3</v>
      </c>
    </row>
    <row r="80" spans="1:19" x14ac:dyDescent="0.2">
      <c r="A80" s="25" t="s">
        <v>448</v>
      </c>
      <c r="B80" s="26" t="s">
        <v>449</v>
      </c>
      <c r="C80" s="25" t="s">
        <v>299</v>
      </c>
      <c r="D80" s="26" t="s">
        <v>299</v>
      </c>
      <c r="E80" s="25"/>
      <c r="F80" s="25"/>
      <c r="G80" s="25"/>
      <c r="H80" s="25" t="s">
        <v>299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2">
        <f t="shared" si="1"/>
        <v>2</v>
      </c>
    </row>
    <row r="81" spans="1:19" x14ac:dyDescent="0.2">
      <c r="A81" s="25" t="s">
        <v>450</v>
      </c>
      <c r="B81" s="26" t="s">
        <v>451</v>
      </c>
      <c r="C81" s="25" t="s">
        <v>299</v>
      </c>
      <c r="D81" s="26" t="s">
        <v>299</v>
      </c>
      <c r="E81" s="25"/>
      <c r="F81" s="25"/>
      <c r="G81" s="25"/>
      <c r="H81" s="25" t="s">
        <v>299</v>
      </c>
      <c r="I81" s="25"/>
      <c r="J81" s="25" t="s">
        <v>299</v>
      </c>
      <c r="K81" s="25" t="s">
        <v>299</v>
      </c>
      <c r="L81" s="25"/>
      <c r="M81" s="25"/>
      <c r="N81" s="25"/>
      <c r="O81" s="25" t="s">
        <v>299</v>
      </c>
      <c r="P81" s="25"/>
      <c r="Q81" s="25"/>
      <c r="R81" s="25"/>
      <c r="S81" s="22">
        <f t="shared" si="1"/>
        <v>5</v>
      </c>
    </row>
    <row r="82" spans="1:19" x14ac:dyDescent="0.2">
      <c r="A82" s="25" t="s">
        <v>452</v>
      </c>
      <c r="B82" s="26" t="s">
        <v>453</v>
      </c>
      <c r="C82" s="25" t="s">
        <v>299</v>
      </c>
      <c r="D82" s="26" t="s">
        <v>299</v>
      </c>
      <c r="E82" s="25"/>
      <c r="F82" s="25"/>
      <c r="G82" s="25"/>
      <c r="H82" s="25" t="s">
        <v>299</v>
      </c>
      <c r="I82" s="25"/>
      <c r="J82" s="25"/>
      <c r="K82" s="25" t="s">
        <v>299</v>
      </c>
      <c r="L82" s="25"/>
      <c r="M82" s="25"/>
      <c r="N82" s="25"/>
      <c r="O82" s="25"/>
      <c r="P82" s="25"/>
      <c r="Q82" s="25"/>
      <c r="R82" s="25"/>
      <c r="S82" s="22">
        <f t="shared" si="1"/>
        <v>3</v>
      </c>
    </row>
    <row r="83" spans="1:19" x14ac:dyDescent="0.2">
      <c r="A83" s="25" t="s">
        <v>454</v>
      </c>
      <c r="B83" s="26" t="s">
        <v>455</v>
      </c>
      <c r="C83" s="25" t="s">
        <v>299</v>
      </c>
      <c r="D83" s="26" t="s">
        <v>299</v>
      </c>
      <c r="E83" s="25" t="s">
        <v>299</v>
      </c>
      <c r="F83" s="25" t="s">
        <v>299</v>
      </c>
      <c r="G83" s="25" t="s">
        <v>299</v>
      </c>
      <c r="H83" s="25" t="s">
        <v>299</v>
      </c>
      <c r="I83" s="25" t="s">
        <v>299</v>
      </c>
      <c r="J83" s="25" t="s">
        <v>299</v>
      </c>
      <c r="K83" s="25" t="s">
        <v>299</v>
      </c>
      <c r="L83" s="25"/>
      <c r="M83" s="25" t="s">
        <v>299</v>
      </c>
      <c r="N83" s="25" t="s">
        <v>299</v>
      </c>
      <c r="O83" s="25" t="s">
        <v>299</v>
      </c>
      <c r="P83" s="25" t="s">
        <v>299</v>
      </c>
      <c r="Q83" s="25" t="s">
        <v>299</v>
      </c>
      <c r="R83" s="25"/>
      <c r="S83" s="22">
        <f t="shared" si="1"/>
        <v>13</v>
      </c>
    </row>
    <row r="84" spans="1:19" x14ac:dyDescent="0.2">
      <c r="A84" s="25" t="s">
        <v>456</v>
      </c>
      <c r="B84" s="26" t="s">
        <v>457</v>
      </c>
      <c r="C84" s="25" t="s">
        <v>299</v>
      </c>
      <c r="D84" s="26" t="s">
        <v>299</v>
      </c>
      <c r="E84" s="25"/>
      <c r="F84" s="25"/>
      <c r="G84" s="25" t="s">
        <v>299</v>
      </c>
      <c r="H84" s="25" t="s">
        <v>299</v>
      </c>
      <c r="I84" s="25" t="s">
        <v>299</v>
      </c>
      <c r="J84" s="25" t="s">
        <v>299</v>
      </c>
      <c r="K84" s="25"/>
      <c r="L84" s="25"/>
      <c r="M84" s="25"/>
      <c r="N84" s="25"/>
      <c r="O84" s="25"/>
      <c r="P84" s="25"/>
      <c r="Q84" s="25"/>
      <c r="R84" s="25"/>
      <c r="S84" s="22">
        <f t="shared" si="1"/>
        <v>5</v>
      </c>
    </row>
    <row r="85" spans="1:19" x14ac:dyDescent="0.2">
      <c r="A85" s="25" t="s">
        <v>458</v>
      </c>
      <c r="B85" s="26" t="s">
        <v>459</v>
      </c>
      <c r="C85" s="25" t="s">
        <v>299</v>
      </c>
      <c r="D85" s="26" t="s">
        <v>299</v>
      </c>
      <c r="E85" s="25"/>
      <c r="F85" s="25"/>
      <c r="G85" s="25"/>
      <c r="H85" s="25" t="s">
        <v>299</v>
      </c>
      <c r="I85" s="25"/>
      <c r="J85" s="25" t="s">
        <v>299</v>
      </c>
      <c r="K85" s="25" t="s">
        <v>299</v>
      </c>
      <c r="L85" s="25"/>
      <c r="M85" s="25"/>
      <c r="N85" s="25"/>
      <c r="O85" s="25" t="s">
        <v>299</v>
      </c>
      <c r="P85" s="25"/>
      <c r="Q85" s="25"/>
      <c r="R85" s="25"/>
      <c r="S85" s="22">
        <f t="shared" si="1"/>
        <v>5</v>
      </c>
    </row>
    <row r="86" spans="1:19" x14ac:dyDescent="0.2">
      <c r="A86" s="25" t="s">
        <v>460</v>
      </c>
      <c r="B86" s="26" t="s">
        <v>461</v>
      </c>
      <c r="C86" s="25" t="s">
        <v>299</v>
      </c>
      <c r="D86" s="26" t="s">
        <v>299</v>
      </c>
      <c r="E86" s="25" t="s">
        <v>299</v>
      </c>
      <c r="F86" s="25"/>
      <c r="G86" s="25" t="s">
        <v>299</v>
      </c>
      <c r="H86" s="25" t="s">
        <v>299</v>
      </c>
      <c r="I86" s="25" t="s">
        <v>299</v>
      </c>
      <c r="J86" s="25" t="s">
        <v>299</v>
      </c>
      <c r="K86" s="25" t="s">
        <v>299</v>
      </c>
      <c r="L86" s="25"/>
      <c r="M86" s="25"/>
      <c r="N86" s="25"/>
      <c r="O86" s="25"/>
      <c r="P86" s="25"/>
      <c r="Q86" s="25"/>
      <c r="R86" s="25"/>
      <c r="S86" s="22">
        <f t="shared" si="1"/>
        <v>7</v>
      </c>
    </row>
    <row r="87" spans="1:19" x14ac:dyDescent="0.2">
      <c r="A87" s="25" t="s">
        <v>462</v>
      </c>
      <c r="B87" s="26" t="s">
        <v>463</v>
      </c>
      <c r="C87" s="25" t="s">
        <v>299</v>
      </c>
      <c r="D87" s="26" t="s">
        <v>299</v>
      </c>
      <c r="E87" s="25" t="s">
        <v>299</v>
      </c>
      <c r="F87" s="25" t="s">
        <v>299</v>
      </c>
      <c r="G87" s="25" t="s">
        <v>299</v>
      </c>
      <c r="H87" s="25" t="s">
        <v>299</v>
      </c>
      <c r="I87" s="25" t="s">
        <v>299</v>
      </c>
      <c r="J87" s="25" t="s">
        <v>299</v>
      </c>
      <c r="K87" s="25" t="s">
        <v>299</v>
      </c>
      <c r="L87" s="25"/>
      <c r="M87" s="25" t="s">
        <v>299</v>
      </c>
      <c r="N87" s="25" t="s">
        <v>299</v>
      </c>
      <c r="O87" s="25" t="s">
        <v>299</v>
      </c>
      <c r="P87" s="25" t="s">
        <v>299</v>
      </c>
      <c r="Q87" s="25" t="s">
        <v>299</v>
      </c>
      <c r="R87" s="25"/>
      <c r="S87" s="22">
        <f t="shared" si="1"/>
        <v>13</v>
      </c>
    </row>
    <row r="88" spans="1:19" x14ac:dyDescent="0.2">
      <c r="A88" s="25" t="s">
        <v>464</v>
      </c>
      <c r="B88" s="26" t="s">
        <v>465</v>
      </c>
      <c r="C88" s="25" t="s">
        <v>299</v>
      </c>
      <c r="D88" s="26" t="s">
        <v>299</v>
      </c>
      <c r="E88" s="25" t="s">
        <v>299</v>
      </c>
      <c r="F88" s="25" t="s">
        <v>299</v>
      </c>
      <c r="G88" s="25" t="s">
        <v>299</v>
      </c>
      <c r="H88" s="25" t="s">
        <v>299</v>
      </c>
      <c r="I88" s="25" t="s">
        <v>299</v>
      </c>
      <c r="J88" s="25" t="s">
        <v>299</v>
      </c>
      <c r="K88" s="25" t="s">
        <v>299</v>
      </c>
      <c r="L88" s="25"/>
      <c r="M88" s="25" t="s">
        <v>299</v>
      </c>
      <c r="N88" s="25"/>
      <c r="O88" s="25" t="s">
        <v>299</v>
      </c>
      <c r="P88" s="25"/>
      <c r="Q88" s="25"/>
      <c r="R88" s="25"/>
      <c r="S88" s="22">
        <f t="shared" si="1"/>
        <v>10</v>
      </c>
    </row>
    <row r="89" spans="1:19" x14ac:dyDescent="0.2">
      <c r="A89" s="25" t="s">
        <v>466</v>
      </c>
      <c r="B89" s="26" t="s">
        <v>467</v>
      </c>
      <c r="C89" s="25" t="s">
        <v>299</v>
      </c>
      <c r="D89" s="26" t="s">
        <v>299</v>
      </c>
      <c r="E89" s="25"/>
      <c r="F89" s="25" t="s">
        <v>299</v>
      </c>
      <c r="G89" s="25" t="s">
        <v>299</v>
      </c>
      <c r="H89" s="25" t="s">
        <v>299</v>
      </c>
      <c r="I89" s="25" t="s">
        <v>299</v>
      </c>
      <c r="J89" s="25" t="s">
        <v>299</v>
      </c>
      <c r="K89" s="25" t="s">
        <v>299</v>
      </c>
      <c r="L89" s="25"/>
      <c r="M89" s="25" t="s">
        <v>299</v>
      </c>
      <c r="N89" s="25" t="s">
        <v>299</v>
      </c>
      <c r="O89" s="25" t="s">
        <v>299</v>
      </c>
      <c r="P89" s="25" t="s">
        <v>299</v>
      </c>
      <c r="Q89" s="25" t="s">
        <v>299</v>
      </c>
      <c r="R89" s="25"/>
      <c r="S89" s="22">
        <f t="shared" si="1"/>
        <v>12</v>
      </c>
    </row>
    <row r="90" spans="1:19" x14ac:dyDescent="0.2">
      <c r="A90" s="25" t="s">
        <v>468</v>
      </c>
      <c r="B90" s="26" t="s">
        <v>315</v>
      </c>
      <c r="C90" s="25" t="s">
        <v>299</v>
      </c>
      <c r="D90" s="26"/>
      <c r="E90" s="25"/>
      <c r="F90" s="25" t="s">
        <v>299</v>
      </c>
      <c r="G90" s="25"/>
      <c r="H90" s="25" t="s">
        <v>299</v>
      </c>
      <c r="I90" s="25"/>
      <c r="J90" s="25" t="s">
        <v>299</v>
      </c>
      <c r="K90" s="25" t="s">
        <v>299</v>
      </c>
      <c r="L90" s="25"/>
      <c r="M90" s="25"/>
      <c r="N90" s="25"/>
      <c r="O90" s="25" t="s">
        <v>299</v>
      </c>
      <c r="P90" s="25"/>
      <c r="Q90" s="25"/>
      <c r="R90" s="25"/>
      <c r="S90" s="22">
        <f t="shared" si="1"/>
        <v>5</v>
      </c>
    </row>
    <row r="91" spans="1:19" x14ac:dyDescent="0.2">
      <c r="A91" s="25" t="s">
        <v>469</v>
      </c>
      <c r="B91" s="26" t="s">
        <v>470</v>
      </c>
      <c r="C91" s="25" t="s">
        <v>299</v>
      </c>
      <c r="D91" s="26" t="s">
        <v>299</v>
      </c>
      <c r="E91" s="25"/>
      <c r="F91" s="25"/>
      <c r="G91" s="25" t="s">
        <v>299</v>
      </c>
      <c r="H91" s="25"/>
      <c r="I91" s="25" t="s">
        <v>299</v>
      </c>
      <c r="J91" s="25" t="s">
        <v>299</v>
      </c>
      <c r="K91" s="25" t="s">
        <v>299</v>
      </c>
      <c r="L91" s="25"/>
      <c r="M91" s="25"/>
      <c r="N91" s="25"/>
      <c r="O91" s="25" t="s">
        <v>299</v>
      </c>
      <c r="P91" s="25"/>
      <c r="Q91" s="25"/>
      <c r="R91" s="25"/>
      <c r="S91" s="22">
        <f t="shared" si="1"/>
        <v>6</v>
      </c>
    </row>
    <row r="92" spans="1:19" x14ac:dyDescent="0.2">
      <c r="A92" s="25" t="s">
        <v>471</v>
      </c>
      <c r="B92" s="26" t="s">
        <v>472</v>
      </c>
      <c r="C92" s="25" t="s">
        <v>299</v>
      </c>
      <c r="D92" s="26" t="s">
        <v>299</v>
      </c>
      <c r="E92" s="25" t="s">
        <v>299</v>
      </c>
      <c r="F92" s="25" t="s">
        <v>299</v>
      </c>
      <c r="G92" s="25" t="s">
        <v>299</v>
      </c>
      <c r="H92" s="25" t="s">
        <v>299</v>
      </c>
      <c r="I92" s="25" t="s">
        <v>299</v>
      </c>
      <c r="J92" s="25" t="s">
        <v>299</v>
      </c>
      <c r="K92" s="25" t="s">
        <v>299</v>
      </c>
      <c r="L92" s="25" t="s">
        <v>299</v>
      </c>
      <c r="M92" s="25" t="s">
        <v>299</v>
      </c>
      <c r="N92" s="25" t="s">
        <v>299</v>
      </c>
      <c r="O92" s="25" t="s">
        <v>299</v>
      </c>
      <c r="P92" s="25" t="s">
        <v>299</v>
      </c>
      <c r="Q92" s="25"/>
      <c r="R92" s="25"/>
      <c r="S92" s="22">
        <f t="shared" si="1"/>
        <v>13</v>
      </c>
    </row>
    <row r="93" spans="1:19" x14ac:dyDescent="0.2">
      <c r="A93" s="25" t="s">
        <v>473</v>
      </c>
      <c r="B93" s="26" t="s">
        <v>474</v>
      </c>
      <c r="C93" s="25" t="s">
        <v>299</v>
      </c>
      <c r="D93" s="26" t="s">
        <v>299</v>
      </c>
      <c r="E93" s="25" t="s">
        <v>299</v>
      </c>
      <c r="F93" s="25" t="s">
        <v>299</v>
      </c>
      <c r="G93" s="25" t="s">
        <v>299</v>
      </c>
      <c r="H93" s="25" t="s">
        <v>299</v>
      </c>
      <c r="I93" s="25" t="s">
        <v>299</v>
      </c>
      <c r="J93" s="25" t="s">
        <v>299</v>
      </c>
      <c r="K93" s="25" t="s">
        <v>299</v>
      </c>
      <c r="L93" s="25"/>
      <c r="M93" s="25" t="s">
        <v>299</v>
      </c>
      <c r="N93" s="25"/>
      <c r="O93" s="25"/>
      <c r="P93" s="25" t="s">
        <v>299</v>
      </c>
      <c r="Q93" s="25"/>
      <c r="R93" s="25"/>
      <c r="S93" s="22">
        <f t="shared" si="1"/>
        <v>10</v>
      </c>
    </row>
    <row r="94" spans="1:19" x14ac:dyDescent="0.2">
      <c r="A94" s="25" t="s">
        <v>475</v>
      </c>
      <c r="B94" s="26" t="s">
        <v>476</v>
      </c>
      <c r="C94" s="25" t="s">
        <v>299</v>
      </c>
      <c r="D94" s="26" t="s">
        <v>299</v>
      </c>
      <c r="E94" s="25" t="s">
        <v>299</v>
      </c>
      <c r="F94" s="25" t="s">
        <v>299</v>
      </c>
      <c r="G94" s="25" t="s">
        <v>299</v>
      </c>
      <c r="H94" s="25" t="s">
        <v>299</v>
      </c>
      <c r="I94" s="25" t="s">
        <v>299</v>
      </c>
      <c r="J94" s="25" t="s">
        <v>299</v>
      </c>
      <c r="K94" s="25" t="s">
        <v>299</v>
      </c>
      <c r="L94" s="25"/>
      <c r="M94" s="25" t="s">
        <v>299</v>
      </c>
      <c r="N94" s="25" t="s">
        <v>299</v>
      </c>
      <c r="O94" s="25" t="s">
        <v>299</v>
      </c>
      <c r="P94" s="25" t="s">
        <v>299</v>
      </c>
      <c r="Q94" s="25" t="s">
        <v>299</v>
      </c>
      <c r="R94" s="25"/>
      <c r="S94" s="22">
        <f t="shared" si="1"/>
        <v>13</v>
      </c>
    </row>
    <row r="95" spans="1:19" x14ac:dyDescent="0.2">
      <c r="A95" s="25" t="s">
        <v>477</v>
      </c>
      <c r="B95" s="26" t="s">
        <v>478</v>
      </c>
      <c r="C95" s="25" t="s">
        <v>299</v>
      </c>
      <c r="D95" s="26" t="s">
        <v>299</v>
      </c>
      <c r="E95" s="25"/>
      <c r="F95" s="25"/>
      <c r="G95" s="25" t="s">
        <v>299</v>
      </c>
      <c r="H95" s="25" t="s">
        <v>299</v>
      </c>
      <c r="I95" s="25" t="s">
        <v>299</v>
      </c>
      <c r="J95" s="25"/>
      <c r="K95" s="25" t="s">
        <v>299</v>
      </c>
      <c r="L95" s="25"/>
      <c r="M95" s="25"/>
      <c r="N95" s="25"/>
      <c r="O95" s="25" t="s">
        <v>299</v>
      </c>
      <c r="P95" s="25"/>
      <c r="Q95" s="25"/>
      <c r="R95" s="25"/>
      <c r="S95" s="22">
        <f t="shared" si="1"/>
        <v>6</v>
      </c>
    </row>
    <row r="96" spans="1:19" x14ac:dyDescent="0.2">
      <c r="A96" s="25" t="s">
        <v>479</v>
      </c>
      <c r="B96" s="26" t="s">
        <v>480</v>
      </c>
      <c r="C96" s="25"/>
      <c r="D96" s="26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2">
        <f t="shared" si="1"/>
        <v>0</v>
      </c>
    </row>
    <row r="97" spans="1:19" x14ac:dyDescent="0.2">
      <c r="A97" s="25" t="s">
        <v>481</v>
      </c>
      <c r="B97" s="26" t="s">
        <v>482</v>
      </c>
      <c r="C97" s="25" t="s">
        <v>299</v>
      </c>
      <c r="D97" s="26" t="s">
        <v>299</v>
      </c>
      <c r="E97" s="25" t="s">
        <v>299</v>
      </c>
      <c r="F97" s="25" t="s">
        <v>299</v>
      </c>
      <c r="G97" s="25" t="s">
        <v>299</v>
      </c>
      <c r="H97" s="25" t="s">
        <v>299</v>
      </c>
      <c r="I97" s="25"/>
      <c r="J97" s="25"/>
      <c r="K97" s="25" t="s">
        <v>299</v>
      </c>
      <c r="L97" s="25"/>
      <c r="M97" s="25" t="s">
        <v>299</v>
      </c>
      <c r="N97" s="25" t="s">
        <v>299</v>
      </c>
      <c r="O97" s="25" t="s">
        <v>299</v>
      </c>
      <c r="P97" s="25" t="s">
        <v>299</v>
      </c>
      <c r="Q97" s="25" t="s">
        <v>299</v>
      </c>
      <c r="R97" s="25"/>
      <c r="S97" s="22">
        <f t="shared" si="1"/>
        <v>11</v>
      </c>
    </row>
    <row r="98" spans="1:19" x14ac:dyDescent="0.2">
      <c r="A98" s="25" t="s">
        <v>483</v>
      </c>
      <c r="B98" s="26" t="s">
        <v>484</v>
      </c>
      <c r="C98" s="25" t="s">
        <v>299</v>
      </c>
      <c r="D98" s="26" t="s">
        <v>299</v>
      </c>
      <c r="E98" s="25" t="s">
        <v>299</v>
      </c>
      <c r="F98" s="25" t="s">
        <v>299</v>
      </c>
      <c r="G98" s="25" t="s">
        <v>299</v>
      </c>
      <c r="H98" s="25" t="s">
        <v>299</v>
      </c>
      <c r="I98" s="25" t="s">
        <v>299</v>
      </c>
      <c r="J98" s="25" t="s">
        <v>299</v>
      </c>
      <c r="K98" s="25" t="s">
        <v>299</v>
      </c>
      <c r="L98" s="25"/>
      <c r="M98" s="25" t="s">
        <v>299</v>
      </c>
      <c r="N98" s="25"/>
      <c r="O98" s="25" t="s">
        <v>299</v>
      </c>
      <c r="P98" s="25"/>
      <c r="Q98" s="25"/>
      <c r="R98" s="25"/>
      <c r="S98" s="22">
        <f t="shared" si="1"/>
        <v>10</v>
      </c>
    </row>
    <row r="99" spans="1:19" x14ac:dyDescent="0.2">
      <c r="A99" s="25" t="s">
        <v>485</v>
      </c>
      <c r="B99" s="26" t="s">
        <v>96</v>
      </c>
      <c r="C99" s="25" t="s">
        <v>299</v>
      </c>
      <c r="D99" s="26" t="s">
        <v>299</v>
      </c>
      <c r="E99" s="25" t="s">
        <v>299</v>
      </c>
      <c r="F99" s="25" t="s">
        <v>299</v>
      </c>
      <c r="G99" s="25" t="s">
        <v>299</v>
      </c>
      <c r="H99" s="25" t="s">
        <v>299</v>
      </c>
      <c r="I99" s="25" t="s">
        <v>299</v>
      </c>
      <c r="J99" s="25" t="s">
        <v>299</v>
      </c>
      <c r="K99" s="25" t="s">
        <v>299</v>
      </c>
      <c r="L99" s="25" t="s">
        <v>299</v>
      </c>
      <c r="M99" s="25" t="s">
        <v>299</v>
      </c>
      <c r="N99" s="25" t="s">
        <v>299</v>
      </c>
      <c r="O99" s="25" t="s">
        <v>299</v>
      </c>
      <c r="P99" s="25" t="s">
        <v>299</v>
      </c>
      <c r="Q99" s="25" t="s">
        <v>299</v>
      </c>
      <c r="R99" s="25"/>
      <c r="S99" s="22">
        <f t="shared" si="1"/>
        <v>14</v>
      </c>
    </row>
    <row r="100" spans="1:19" x14ac:dyDescent="0.2">
      <c r="A100" s="25" t="s">
        <v>486</v>
      </c>
      <c r="B100" s="26" t="s">
        <v>487</v>
      </c>
      <c r="C100" s="25" t="s">
        <v>299</v>
      </c>
      <c r="D100" s="26" t="s">
        <v>299</v>
      </c>
      <c r="E100" s="25" t="s">
        <v>299</v>
      </c>
      <c r="F100" s="25" t="s">
        <v>299</v>
      </c>
      <c r="G100" s="25" t="s">
        <v>299</v>
      </c>
      <c r="H100" s="25" t="s">
        <v>299</v>
      </c>
      <c r="I100" s="25" t="s">
        <v>299</v>
      </c>
      <c r="J100" s="25" t="s">
        <v>299</v>
      </c>
      <c r="K100" s="25" t="s">
        <v>299</v>
      </c>
      <c r="L100" s="25"/>
      <c r="M100" s="25" t="s">
        <v>299</v>
      </c>
      <c r="N100" s="25"/>
      <c r="O100" s="25" t="s">
        <v>299</v>
      </c>
      <c r="P100" s="25"/>
      <c r="Q100" s="25"/>
      <c r="R100" s="25"/>
      <c r="S100" s="22">
        <f t="shared" si="1"/>
        <v>10</v>
      </c>
    </row>
    <row r="101" spans="1:19" x14ac:dyDescent="0.2">
      <c r="A101" s="25" t="s">
        <v>488</v>
      </c>
      <c r="B101" s="26" t="s">
        <v>489</v>
      </c>
      <c r="C101" s="25" t="s">
        <v>299</v>
      </c>
      <c r="D101" s="26" t="s">
        <v>299</v>
      </c>
      <c r="E101" s="25" t="s">
        <v>299</v>
      </c>
      <c r="F101" s="25" t="s">
        <v>299</v>
      </c>
      <c r="G101" s="25" t="s">
        <v>299</v>
      </c>
      <c r="H101" s="25" t="s">
        <v>299</v>
      </c>
      <c r="I101" s="25" t="s">
        <v>299</v>
      </c>
      <c r="J101" s="25" t="s">
        <v>299</v>
      </c>
      <c r="K101" s="25" t="s">
        <v>299</v>
      </c>
      <c r="L101" s="25" t="s">
        <v>299</v>
      </c>
      <c r="M101" s="25" t="s">
        <v>299</v>
      </c>
      <c r="N101" s="25" t="s">
        <v>299</v>
      </c>
      <c r="O101" s="25" t="s">
        <v>299</v>
      </c>
      <c r="P101" s="25" t="s">
        <v>299</v>
      </c>
      <c r="Q101" s="25"/>
      <c r="R101" s="25"/>
      <c r="S101" s="22">
        <f>COUNTIF(D101:R101, "FP")</f>
        <v>13</v>
      </c>
    </row>
    <row r="102" spans="1:19" x14ac:dyDescent="0.2">
      <c r="D102" s="22">
        <f>COUNTIF(D2:D101, "FP")</f>
        <v>90</v>
      </c>
      <c r="E102" s="22">
        <f t="shared" ref="E102:R102" si="2">COUNTIF(E2:E101, "FP")</f>
        <v>59</v>
      </c>
      <c r="F102" s="22">
        <f t="shared" si="2"/>
        <v>60</v>
      </c>
      <c r="G102" s="22">
        <f t="shared" si="2"/>
        <v>76</v>
      </c>
      <c r="H102" s="22">
        <f t="shared" si="2"/>
        <v>93</v>
      </c>
      <c r="I102" s="22">
        <f t="shared" si="2"/>
        <v>72</v>
      </c>
      <c r="J102" s="22">
        <f t="shared" si="2"/>
        <v>86</v>
      </c>
      <c r="K102" s="22">
        <f t="shared" si="2"/>
        <v>86</v>
      </c>
      <c r="L102" s="22">
        <f t="shared" si="2"/>
        <v>9</v>
      </c>
      <c r="M102" s="22">
        <f t="shared" si="2"/>
        <v>38</v>
      </c>
      <c r="N102" s="22">
        <f t="shared" si="2"/>
        <v>24</v>
      </c>
      <c r="O102" s="22">
        <f t="shared" si="2"/>
        <v>70</v>
      </c>
      <c r="P102" s="22">
        <f t="shared" si="2"/>
        <v>28</v>
      </c>
      <c r="Q102" s="22">
        <f t="shared" si="2"/>
        <v>14</v>
      </c>
      <c r="R102" s="22">
        <f t="shared" si="2"/>
        <v>1</v>
      </c>
      <c r="S102" s="22">
        <f>SUM(S2:S101)/100</f>
        <v>8.06</v>
      </c>
    </row>
  </sheetData>
  <autoFilter ref="A1:R101" xr:uid="{00000000-0009-0000-00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133C-34E8-BE44-99FC-581BA50D310F}">
  <dimension ref="A1:AC104"/>
  <sheetViews>
    <sheetView workbookViewId="0">
      <pane xSplit="3" ySplit="2" topLeftCell="D72" activePane="bottomRight" state="frozen"/>
      <selection pane="topRight"/>
      <selection pane="bottomLeft"/>
      <selection pane="bottomRight" activeCell="D103" sqref="D103:AB103"/>
    </sheetView>
  </sheetViews>
  <sheetFormatPr baseColWidth="10" defaultColWidth="8.83203125" defaultRowHeight="15" x14ac:dyDescent="0.2"/>
  <cols>
    <col min="1" max="1" width="5.33203125" style="22" bestFit="1" customWidth="1"/>
    <col min="2" max="2" width="25.1640625" style="22" bestFit="1" customWidth="1"/>
    <col min="3" max="3" width="12.1640625" style="22" bestFit="1" customWidth="1"/>
    <col min="4" max="4" width="6" style="22" bestFit="1" customWidth="1"/>
    <col min="5" max="12" width="3.5" style="22" bestFit="1" customWidth="1"/>
    <col min="13" max="13" width="12.1640625" style="22" bestFit="1" customWidth="1"/>
    <col min="14" max="15" width="6" style="22" bestFit="1" customWidth="1"/>
    <col min="16" max="16" width="13.33203125" style="22" bestFit="1" customWidth="1"/>
    <col min="17" max="22" width="3.5" style="22" bestFit="1" customWidth="1"/>
    <col min="23" max="23" width="15.6640625" style="22" bestFit="1" customWidth="1"/>
    <col min="24" max="24" width="15" style="22" bestFit="1" customWidth="1"/>
    <col min="25" max="26" width="6" style="22" bestFit="1" customWidth="1"/>
    <col min="27" max="27" width="15.5" style="22" bestFit="1" customWidth="1"/>
    <col min="28" max="28" width="14.5" style="22" bestFit="1" customWidth="1"/>
    <col min="29" max="29" width="5.1640625" style="22" bestFit="1" customWidth="1"/>
    <col min="30" max="16384" width="8.83203125" style="22"/>
  </cols>
  <sheetData>
    <row r="1" spans="1:29" ht="24" customHeight="1" x14ac:dyDescent="0.2">
      <c r="A1" s="20" t="s">
        <v>294</v>
      </c>
      <c r="B1" s="20" t="s">
        <v>295</v>
      </c>
      <c r="C1" s="20" t="s">
        <v>296</v>
      </c>
      <c r="D1" s="21" t="s">
        <v>138</v>
      </c>
      <c r="E1" s="21"/>
      <c r="F1" s="21"/>
      <c r="G1" s="21"/>
      <c r="H1" s="21"/>
      <c r="I1" s="21"/>
      <c r="J1" s="21"/>
      <c r="K1" s="21"/>
      <c r="L1" s="21"/>
      <c r="M1" s="20" t="s">
        <v>139</v>
      </c>
      <c r="N1" s="21" t="s">
        <v>140</v>
      </c>
      <c r="O1" s="21"/>
      <c r="P1" s="20" t="s">
        <v>141</v>
      </c>
      <c r="Q1" s="21" t="s">
        <v>143</v>
      </c>
      <c r="R1" s="21"/>
      <c r="S1" s="21"/>
      <c r="T1" s="21"/>
      <c r="U1" s="21"/>
      <c r="V1" s="21"/>
      <c r="W1" s="20" t="s">
        <v>147</v>
      </c>
      <c r="X1" s="20" t="s">
        <v>148</v>
      </c>
      <c r="Y1" s="21" t="s">
        <v>149</v>
      </c>
      <c r="Z1" s="21"/>
      <c r="AA1" s="20" t="s">
        <v>150</v>
      </c>
      <c r="AB1" s="20" t="s">
        <v>151</v>
      </c>
    </row>
    <row r="2" spans="1:29" ht="110" customHeight="1" x14ac:dyDescent="0.2">
      <c r="A2" s="23" t="s">
        <v>294</v>
      </c>
      <c r="B2" s="23" t="s">
        <v>295</v>
      </c>
      <c r="C2" s="23" t="s">
        <v>296</v>
      </c>
      <c r="D2" s="24" t="s">
        <v>100</v>
      </c>
      <c r="E2" s="24" t="s">
        <v>101</v>
      </c>
      <c r="F2" s="24" t="s">
        <v>102</v>
      </c>
      <c r="G2" s="24" t="s">
        <v>103</v>
      </c>
      <c r="H2" s="24" t="s">
        <v>104</v>
      </c>
      <c r="I2" s="24" t="s">
        <v>105</v>
      </c>
      <c r="J2" s="24" t="s">
        <v>106</v>
      </c>
      <c r="K2" s="24" t="s">
        <v>107</v>
      </c>
      <c r="L2" s="24" t="s">
        <v>108</v>
      </c>
      <c r="M2" s="24" t="s">
        <v>132</v>
      </c>
      <c r="N2" s="24" t="s">
        <v>118</v>
      </c>
      <c r="O2" s="24" t="s">
        <v>119</v>
      </c>
      <c r="P2" s="24" t="s">
        <v>109</v>
      </c>
      <c r="Q2" s="24" t="s">
        <v>112</v>
      </c>
      <c r="R2" s="24" t="s">
        <v>113</v>
      </c>
      <c r="S2" s="24" t="s">
        <v>114</v>
      </c>
      <c r="T2" s="24" t="s">
        <v>115</v>
      </c>
      <c r="U2" s="24" t="s">
        <v>116</v>
      </c>
      <c r="V2" s="24" t="s">
        <v>117</v>
      </c>
      <c r="W2" s="24" t="s">
        <v>131</v>
      </c>
      <c r="X2" s="24" t="s">
        <v>120</v>
      </c>
      <c r="Y2" s="24" t="s">
        <v>110</v>
      </c>
      <c r="Z2" s="24" t="s">
        <v>111</v>
      </c>
      <c r="AA2" s="24" t="s">
        <v>121</v>
      </c>
      <c r="AB2" s="24" t="s">
        <v>122</v>
      </c>
    </row>
    <row r="3" spans="1:29" x14ac:dyDescent="0.2">
      <c r="A3" s="25" t="s">
        <v>297</v>
      </c>
      <c r="B3" s="26" t="s">
        <v>298</v>
      </c>
      <c r="C3" s="25" t="s">
        <v>299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 t="s">
        <v>299</v>
      </c>
      <c r="Q3" s="25"/>
      <c r="R3" s="25"/>
      <c r="S3" s="25"/>
      <c r="T3" s="25" t="s">
        <v>299</v>
      </c>
      <c r="U3" s="25"/>
      <c r="V3" s="25" t="s">
        <v>299</v>
      </c>
      <c r="W3" s="25"/>
      <c r="X3" s="25"/>
      <c r="Y3" s="25"/>
      <c r="Z3" s="25"/>
      <c r="AA3" s="25"/>
      <c r="AB3" s="25"/>
      <c r="AC3" s="22">
        <f t="shared" ref="AC3:AC66" si="0">COUNTIF(D3:AB3, "FP")</f>
        <v>3</v>
      </c>
    </row>
    <row r="4" spans="1:29" x14ac:dyDescent="0.2">
      <c r="A4" s="25" t="s">
        <v>300</v>
      </c>
      <c r="B4" s="26" t="s">
        <v>301</v>
      </c>
      <c r="C4" s="25" t="s">
        <v>299</v>
      </c>
      <c r="D4" s="25"/>
      <c r="E4" s="25"/>
      <c r="F4" s="25"/>
      <c r="G4" s="25"/>
      <c r="H4" s="25"/>
      <c r="I4" s="25" t="s">
        <v>299</v>
      </c>
      <c r="J4" s="25"/>
      <c r="K4" s="25"/>
      <c r="L4" s="25" t="s">
        <v>299</v>
      </c>
      <c r="M4" s="25"/>
      <c r="N4" s="25"/>
      <c r="O4" s="25"/>
      <c r="P4" s="25" t="s">
        <v>299</v>
      </c>
      <c r="Q4" s="25" t="s">
        <v>299</v>
      </c>
      <c r="R4" s="25" t="s">
        <v>299</v>
      </c>
      <c r="S4" s="25" t="s">
        <v>299</v>
      </c>
      <c r="T4" s="25" t="s">
        <v>299</v>
      </c>
      <c r="U4" s="25"/>
      <c r="V4" s="25" t="s">
        <v>299</v>
      </c>
      <c r="W4" s="25"/>
      <c r="X4" s="25"/>
      <c r="Y4" s="25"/>
      <c r="Z4" s="25"/>
      <c r="AA4" s="25"/>
      <c r="AB4" s="25"/>
      <c r="AC4" s="22">
        <f t="shared" si="0"/>
        <v>8</v>
      </c>
    </row>
    <row r="5" spans="1:29" x14ac:dyDescent="0.2">
      <c r="A5" s="25" t="s">
        <v>302</v>
      </c>
      <c r="B5" s="26" t="s">
        <v>303</v>
      </c>
      <c r="C5" s="25" t="s">
        <v>299</v>
      </c>
      <c r="D5" s="25"/>
      <c r="E5" s="25"/>
      <c r="F5" s="25"/>
      <c r="G5" s="25"/>
      <c r="H5" s="25"/>
      <c r="I5" s="25" t="s">
        <v>299</v>
      </c>
      <c r="J5" s="25"/>
      <c r="K5" s="25"/>
      <c r="L5" s="25" t="s">
        <v>299</v>
      </c>
      <c r="M5" s="25"/>
      <c r="N5" s="25"/>
      <c r="O5" s="25"/>
      <c r="P5" s="25" t="s">
        <v>299</v>
      </c>
      <c r="Q5" s="25"/>
      <c r="R5" s="25"/>
      <c r="S5" s="25" t="s">
        <v>299</v>
      </c>
      <c r="T5" s="25" t="s">
        <v>299</v>
      </c>
      <c r="U5" s="25"/>
      <c r="V5" s="25" t="s">
        <v>299</v>
      </c>
      <c r="W5" s="25"/>
      <c r="X5" s="25"/>
      <c r="Y5" s="25"/>
      <c r="Z5" s="25"/>
      <c r="AA5" s="25" t="s">
        <v>299</v>
      </c>
      <c r="AB5" s="25"/>
      <c r="AC5" s="22">
        <f t="shared" si="0"/>
        <v>7</v>
      </c>
    </row>
    <row r="6" spans="1:29" x14ac:dyDescent="0.2">
      <c r="A6" s="25" t="s">
        <v>304</v>
      </c>
      <c r="B6" s="26" t="s">
        <v>305</v>
      </c>
      <c r="C6" s="25" t="s">
        <v>299</v>
      </c>
      <c r="D6" s="25"/>
      <c r="E6" s="25"/>
      <c r="F6" s="25"/>
      <c r="G6" s="25"/>
      <c r="H6" s="25"/>
      <c r="I6" s="25"/>
      <c r="J6" s="25"/>
      <c r="K6" s="25"/>
      <c r="L6" s="25" t="s">
        <v>299</v>
      </c>
      <c r="M6" s="25"/>
      <c r="N6" s="25"/>
      <c r="O6" s="25"/>
      <c r="P6" s="25"/>
      <c r="Q6" s="25" t="s">
        <v>299</v>
      </c>
      <c r="R6" s="25" t="s">
        <v>299</v>
      </c>
      <c r="S6" s="25" t="s">
        <v>299</v>
      </c>
      <c r="T6" s="25" t="s">
        <v>299</v>
      </c>
      <c r="U6" s="25"/>
      <c r="V6" s="25" t="s">
        <v>299</v>
      </c>
      <c r="W6" s="25" t="s">
        <v>299</v>
      </c>
      <c r="X6" s="25"/>
      <c r="Y6" s="25"/>
      <c r="Z6" s="25"/>
      <c r="AA6" s="25"/>
      <c r="AB6" s="25"/>
      <c r="AC6" s="22">
        <f t="shared" si="0"/>
        <v>7</v>
      </c>
    </row>
    <row r="7" spans="1:29" x14ac:dyDescent="0.2">
      <c r="A7" s="25" t="s">
        <v>306</v>
      </c>
      <c r="B7" s="26" t="s">
        <v>307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2">
        <f t="shared" si="0"/>
        <v>0</v>
      </c>
    </row>
    <row r="8" spans="1:29" x14ac:dyDescent="0.2">
      <c r="A8" s="25" t="s">
        <v>308</v>
      </c>
      <c r="B8" s="26" t="s">
        <v>309</v>
      </c>
      <c r="C8" s="25" t="s">
        <v>299</v>
      </c>
      <c r="D8" s="25"/>
      <c r="E8" s="25"/>
      <c r="F8" s="25"/>
      <c r="G8" s="25"/>
      <c r="H8" s="25"/>
      <c r="I8" s="25" t="s">
        <v>299</v>
      </c>
      <c r="J8" s="25"/>
      <c r="K8" s="25"/>
      <c r="L8" s="25" t="s">
        <v>299</v>
      </c>
      <c r="M8" s="25" t="s">
        <v>299</v>
      </c>
      <c r="N8" s="25" t="s">
        <v>299</v>
      </c>
      <c r="O8" s="25" t="s">
        <v>299</v>
      </c>
      <c r="P8" s="25" t="s">
        <v>299</v>
      </c>
      <c r="Q8" s="25" t="s">
        <v>299</v>
      </c>
      <c r="R8" s="25" t="s">
        <v>299</v>
      </c>
      <c r="S8" s="25" t="s">
        <v>299</v>
      </c>
      <c r="T8" s="25" t="s">
        <v>299</v>
      </c>
      <c r="U8" s="25"/>
      <c r="V8" s="25" t="s">
        <v>299</v>
      </c>
      <c r="W8" s="25"/>
      <c r="X8" s="25"/>
      <c r="Y8" s="25"/>
      <c r="Z8" s="25"/>
      <c r="AA8" s="25"/>
      <c r="AB8" s="25"/>
      <c r="AC8" s="22">
        <f t="shared" si="0"/>
        <v>11</v>
      </c>
    </row>
    <row r="9" spans="1:29" x14ac:dyDescent="0.2">
      <c r="A9" s="25" t="s">
        <v>310</v>
      </c>
      <c r="B9" s="26" t="s">
        <v>311</v>
      </c>
      <c r="C9" s="25" t="s">
        <v>299</v>
      </c>
      <c r="D9" s="25"/>
      <c r="E9" s="25"/>
      <c r="F9" s="25"/>
      <c r="G9" s="25"/>
      <c r="H9" s="25"/>
      <c r="I9" s="25"/>
      <c r="J9" s="25"/>
      <c r="K9" s="25"/>
      <c r="L9" s="25" t="s">
        <v>299</v>
      </c>
      <c r="M9" s="25"/>
      <c r="N9" s="25"/>
      <c r="O9" s="25"/>
      <c r="P9" s="25"/>
      <c r="Q9" s="25"/>
      <c r="R9" s="25"/>
      <c r="S9" s="25" t="s">
        <v>299</v>
      </c>
      <c r="T9" s="25" t="s">
        <v>299</v>
      </c>
      <c r="U9" s="25" t="s">
        <v>299</v>
      </c>
      <c r="V9" s="25" t="s">
        <v>299</v>
      </c>
      <c r="W9" s="25"/>
      <c r="X9" s="25"/>
      <c r="Y9" s="25"/>
      <c r="Z9" s="25"/>
      <c r="AA9" s="25" t="s">
        <v>299</v>
      </c>
      <c r="AB9" s="25"/>
      <c r="AC9" s="22">
        <f t="shared" si="0"/>
        <v>6</v>
      </c>
    </row>
    <row r="10" spans="1:29" x14ac:dyDescent="0.2">
      <c r="A10" s="25" t="s">
        <v>312</v>
      </c>
      <c r="B10" s="26" t="s">
        <v>313</v>
      </c>
      <c r="C10" s="25" t="s">
        <v>299</v>
      </c>
      <c r="D10" s="25"/>
      <c r="E10" s="25"/>
      <c r="F10" s="25"/>
      <c r="G10" s="25"/>
      <c r="H10" s="25"/>
      <c r="I10" s="25"/>
      <c r="J10" s="25"/>
      <c r="K10" s="25"/>
      <c r="L10" s="25" t="s">
        <v>299</v>
      </c>
      <c r="M10" s="25"/>
      <c r="N10" s="25"/>
      <c r="O10" s="25"/>
      <c r="P10" s="25" t="s">
        <v>299</v>
      </c>
      <c r="Q10" s="25" t="s">
        <v>299</v>
      </c>
      <c r="R10" s="25" t="s">
        <v>299</v>
      </c>
      <c r="S10" s="25" t="s">
        <v>299</v>
      </c>
      <c r="T10" s="25" t="s">
        <v>299</v>
      </c>
      <c r="U10" s="25" t="s">
        <v>299</v>
      </c>
      <c r="V10" s="25" t="s">
        <v>299</v>
      </c>
      <c r="W10" s="25" t="s">
        <v>299</v>
      </c>
      <c r="X10" s="25"/>
      <c r="Y10" s="25"/>
      <c r="Z10" s="25"/>
      <c r="AA10" s="25"/>
      <c r="AB10" s="25"/>
      <c r="AC10" s="22">
        <f t="shared" si="0"/>
        <v>9</v>
      </c>
    </row>
    <row r="11" spans="1:29" x14ac:dyDescent="0.2">
      <c r="A11" s="25" t="s">
        <v>314</v>
      </c>
      <c r="B11" s="26" t="s">
        <v>315</v>
      </c>
      <c r="C11" s="25" t="s">
        <v>299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 t="s">
        <v>299</v>
      </c>
      <c r="O11" s="25"/>
      <c r="P11" s="25" t="s">
        <v>299</v>
      </c>
      <c r="Q11" s="25"/>
      <c r="R11" s="25"/>
      <c r="S11" s="25" t="s">
        <v>299</v>
      </c>
      <c r="T11" s="25" t="s">
        <v>299</v>
      </c>
      <c r="U11" s="25"/>
      <c r="V11" s="25" t="s">
        <v>299</v>
      </c>
      <c r="W11" s="25"/>
      <c r="X11" s="25"/>
      <c r="Y11" s="25" t="s">
        <v>299</v>
      </c>
      <c r="Z11" s="25" t="s">
        <v>299</v>
      </c>
      <c r="AA11" s="25"/>
      <c r="AB11" s="25"/>
      <c r="AC11" s="22">
        <f t="shared" si="0"/>
        <v>7</v>
      </c>
    </row>
    <row r="12" spans="1:29" x14ac:dyDescent="0.2">
      <c r="A12" s="25" t="s">
        <v>316</v>
      </c>
      <c r="B12" s="26" t="s">
        <v>317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2">
        <f t="shared" si="0"/>
        <v>0</v>
      </c>
    </row>
    <row r="13" spans="1:29" x14ac:dyDescent="0.2">
      <c r="A13" s="25" t="s">
        <v>318</v>
      </c>
      <c r="B13" s="26" t="s">
        <v>319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2">
        <f t="shared" si="0"/>
        <v>0</v>
      </c>
    </row>
    <row r="14" spans="1:29" x14ac:dyDescent="0.2">
      <c r="A14" s="25" t="s">
        <v>320</v>
      </c>
      <c r="B14" s="26" t="s">
        <v>321</v>
      </c>
      <c r="C14" s="25" t="s">
        <v>299</v>
      </c>
      <c r="D14" s="25"/>
      <c r="E14" s="25"/>
      <c r="F14" s="25"/>
      <c r="G14" s="25"/>
      <c r="H14" s="25"/>
      <c r="I14" s="25"/>
      <c r="J14" s="25"/>
      <c r="K14" s="25"/>
      <c r="L14" s="25" t="s">
        <v>299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2">
        <f t="shared" si="0"/>
        <v>1</v>
      </c>
    </row>
    <row r="15" spans="1:29" x14ac:dyDescent="0.2">
      <c r="A15" s="25" t="s">
        <v>322</v>
      </c>
      <c r="B15" s="26" t="s">
        <v>323</v>
      </c>
      <c r="C15" s="25" t="s">
        <v>299</v>
      </c>
      <c r="D15" s="25" t="s">
        <v>299</v>
      </c>
      <c r="E15" s="25" t="s">
        <v>299</v>
      </c>
      <c r="F15" s="25" t="s">
        <v>299</v>
      </c>
      <c r="G15" s="25" t="s">
        <v>299</v>
      </c>
      <c r="H15" s="25" t="s">
        <v>299</v>
      </c>
      <c r="I15" s="25" t="s">
        <v>299</v>
      </c>
      <c r="J15" s="25" t="s">
        <v>299</v>
      </c>
      <c r="K15" s="25" t="s">
        <v>299</v>
      </c>
      <c r="L15" s="25" t="s">
        <v>299</v>
      </c>
      <c r="M15" s="25"/>
      <c r="N15" s="25" t="s">
        <v>299</v>
      </c>
      <c r="O15" s="25" t="s">
        <v>299</v>
      </c>
      <c r="P15" s="25" t="s">
        <v>299</v>
      </c>
      <c r="Q15" s="25" t="s">
        <v>299</v>
      </c>
      <c r="R15" s="25" t="s">
        <v>299</v>
      </c>
      <c r="S15" s="25" t="s">
        <v>299</v>
      </c>
      <c r="T15" s="25" t="s">
        <v>299</v>
      </c>
      <c r="U15" s="25" t="s">
        <v>299</v>
      </c>
      <c r="V15" s="25" t="s">
        <v>299</v>
      </c>
      <c r="W15" s="25" t="s">
        <v>299</v>
      </c>
      <c r="X15" s="25" t="s">
        <v>299</v>
      </c>
      <c r="Y15" s="25"/>
      <c r="Z15" s="25"/>
      <c r="AA15" s="25" t="s">
        <v>299</v>
      </c>
      <c r="AB15" s="25"/>
      <c r="AC15" s="22">
        <f t="shared" si="0"/>
        <v>21</v>
      </c>
    </row>
    <row r="16" spans="1:29" x14ac:dyDescent="0.2">
      <c r="A16" s="25" t="s">
        <v>324</v>
      </c>
      <c r="B16" s="26" t="s">
        <v>325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2">
        <f t="shared" si="0"/>
        <v>0</v>
      </c>
    </row>
    <row r="17" spans="1:29" x14ac:dyDescent="0.2">
      <c r="A17" s="25" t="s">
        <v>326</v>
      </c>
      <c r="B17" s="26" t="s">
        <v>327</v>
      </c>
      <c r="C17" s="25" t="s">
        <v>299</v>
      </c>
      <c r="D17" s="25"/>
      <c r="E17" s="25"/>
      <c r="F17" s="25"/>
      <c r="G17" s="25"/>
      <c r="H17" s="25"/>
      <c r="I17" s="25" t="s">
        <v>299</v>
      </c>
      <c r="J17" s="25"/>
      <c r="K17" s="25"/>
      <c r="L17" s="25" t="s">
        <v>299</v>
      </c>
      <c r="M17" s="25"/>
      <c r="N17" s="25"/>
      <c r="O17" s="25"/>
      <c r="P17" s="25" t="s">
        <v>299</v>
      </c>
      <c r="Q17" s="25"/>
      <c r="R17" s="25"/>
      <c r="S17" s="25" t="s">
        <v>299</v>
      </c>
      <c r="T17" s="25" t="s">
        <v>299</v>
      </c>
      <c r="U17" s="25"/>
      <c r="V17" s="25" t="s">
        <v>299</v>
      </c>
      <c r="W17" s="25"/>
      <c r="X17" s="25"/>
      <c r="Y17" s="25"/>
      <c r="Z17" s="25"/>
      <c r="AA17" s="25" t="s">
        <v>299</v>
      </c>
      <c r="AB17" s="25"/>
      <c r="AC17" s="22">
        <f t="shared" si="0"/>
        <v>7</v>
      </c>
    </row>
    <row r="18" spans="1:29" x14ac:dyDescent="0.2">
      <c r="A18" s="25" t="s">
        <v>328</v>
      </c>
      <c r="B18" s="26" t="s">
        <v>329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2">
        <f t="shared" si="0"/>
        <v>0</v>
      </c>
    </row>
    <row r="19" spans="1:29" x14ac:dyDescent="0.2">
      <c r="A19" s="25" t="s">
        <v>330</v>
      </c>
      <c r="B19" s="26" t="s">
        <v>331</v>
      </c>
      <c r="C19" s="25" t="s">
        <v>299</v>
      </c>
      <c r="D19" s="25"/>
      <c r="E19" s="25"/>
      <c r="F19" s="25"/>
      <c r="G19" s="25"/>
      <c r="H19" s="25"/>
      <c r="I19" s="25"/>
      <c r="J19" s="25"/>
      <c r="K19" s="25"/>
      <c r="L19" s="25" t="s">
        <v>299</v>
      </c>
      <c r="M19" s="25"/>
      <c r="N19" s="25"/>
      <c r="O19" s="25"/>
      <c r="P19" s="25" t="s">
        <v>299</v>
      </c>
      <c r="Q19" s="25" t="s">
        <v>299</v>
      </c>
      <c r="R19" s="25" t="s">
        <v>299</v>
      </c>
      <c r="S19" s="25" t="s">
        <v>299</v>
      </c>
      <c r="T19" s="25" t="s">
        <v>299</v>
      </c>
      <c r="U19" s="25"/>
      <c r="V19" s="25" t="s">
        <v>299</v>
      </c>
      <c r="W19" s="25" t="s">
        <v>299</v>
      </c>
      <c r="X19" s="25"/>
      <c r="Y19" s="25"/>
      <c r="Z19" s="25"/>
      <c r="AA19" s="25"/>
      <c r="AB19" s="25"/>
      <c r="AC19" s="22">
        <f t="shared" si="0"/>
        <v>8</v>
      </c>
    </row>
    <row r="20" spans="1:29" x14ac:dyDescent="0.2">
      <c r="A20" s="25" t="s">
        <v>332</v>
      </c>
      <c r="B20" s="26" t="s">
        <v>333</v>
      </c>
      <c r="C20" s="25" t="s">
        <v>299</v>
      </c>
      <c r="D20" s="25"/>
      <c r="E20" s="25" t="s">
        <v>299</v>
      </c>
      <c r="F20" s="25"/>
      <c r="G20" s="25" t="s">
        <v>299</v>
      </c>
      <c r="H20" s="25"/>
      <c r="I20" s="25" t="s">
        <v>299</v>
      </c>
      <c r="J20" s="25" t="s">
        <v>299</v>
      </c>
      <c r="K20" s="25" t="s">
        <v>299</v>
      </c>
      <c r="L20" s="25" t="s">
        <v>299</v>
      </c>
      <c r="M20" s="25" t="s">
        <v>299</v>
      </c>
      <c r="N20" s="25" t="s">
        <v>299</v>
      </c>
      <c r="O20" s="25" t="s">
        <v>299</v>
      </c>
      <c r="P20" s="25" t="s">
        <v>299</v>
      </c>
      <c r="Q20" s="25" t="s">
        <v>299</v>
      </c>
      <c r="R20" s="25" t="s">
        <v>299</v>
      </c>
      <c r="S20" s="25"/>
      <c r="T20" s="25" t="s">
        <v>299</v>
      </c>
      <c r="U20" s="25" t="s">
        <v>299</v>
      </c>
      <c r="V20" s="25" t="s">
        <v>299</v>
      </c>
      <c r="W20" s="25" t="s">
        <v>299</v>
      </c>
      <c r="X20" s="25" t="s">
        <v>299</v>
      </c>
      <c r="Y20" s="25"/>
      <c r="Z20" s="25"/>
      <c r="AA20" s="25"/>
      <c r="AB20" s="25"/>
      <c r="AC20" s="22">
        <f t="shared" si="0"/>
        <v>17</v>
      </c>
    </row>
    <row r="21" spans="1:29" x14ac:dyDescent="0.2">
      <c r="A21" s="25" t="s">
        <v>334</v>
      </c>
      <c r="B21" s="26" t="s">
        <v>335</v>
      </c>
      <c r="C21" s="25" t="s">
        <v>299</v>
      </c>
      <c r="D21" s="25"/>
      <c r="E21" s="25"/>
      <c r="F21" s="25"/>
      <c r="G21" s="25"/>
      <c r="H21" s="25"/>
      <c r="I21" s="25"/>
      <c r="J21" s="25"/>
      <c r="K21" s="25"/>
      <c r="L21" s="25" t="s">
        <v>299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2">
        <f t="shared" si="0"/>
        <v>1</v>
      </c>
    </row>
    <row r="22" spans="1:29" x14ac:dyDescent="0.2">
      <c r="A22" s="25" t="s">
        <v>336</v>
      </c>
      <c r="B22" s="26" t="s">
        <v>337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2">
        <f t="shared" si="0"/>
        <v>0</v>
      </c>
    </row>
    <row r="23" spans="1:29" x14ac:dyDescent="0.2">
      <c r="A23" s="25" t="s">
        <v>338</v>
      </c>
      <c r="B23" s="26" t="s">
        <v>339</v>
      </c>
      <c r="C23" s="25" t="s">
        <v>299</v>
      </c>
      <c r="D23" s="25"/>
      <c r="E23" s="25"/>
      <c r="F23" s="25"/>
      <c r="G23" s="25"/>
      <c r="H23" s="25"/>
      <c r="I23" s="25"/>
      <c r="J23" s="25"/>
      <c r="K23" s="25"/>
      <c r="L23" s="25" t="s">
        <v>299</v>
      </c>
      <c r="M23" s="25"/>
      <c r="N23" s="25"/>
      <c r="O23" s="25"/>
      <c r="P23" s="25" t="s">
        <v>299</v>
      </c>
      <c r="Q23" s="25" t="s">
        <v>299</v>
      </c>
      <c r="R23" s="25" t="s">
        <v>299</v>
      </c>
      <c r="S23" s="25" t="s">
        <v>299</v>
      </c>
      <c r="T23" s="25" t="s">
        <v>299</v>
      </c>
      <c r="U23" s="25"/>
      <c r="V23" s="25" t="s">
        <v>299</v>
      </c>
      <c r="W23" s="25" t="s">
        <v>299</v>
      </c>
      <c r="X23" s="25"/>
      <c r="Y23" s="25"/>
      <c r="Z23" s="25"/>
      <c r="AA23" s="25"/>
      <c r="AB23" s="25"/>
      <c r="AC23" s="22">
        <f t="shared" si="0"/>
        <v>8</v>
      </c>
    </row>
    <row r="24" spans="1:29" x14ac:dyDescent="0.2">
      <c r="A24" s="25" t="s">
        <v>340</v>
      </c>
      <c r="B24" s="26" t="s">
        <v>341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2">
        <f t="shared" si="0"/>
        <v>0</v>
      </c>
    </row>
    <row r="25" spans="1:29" x14ac:dyDescent="0.2">
      <c r="A25" s="25" t="s">
        <v>342</v>
      </c>
      <c r="B25" s="26" t="s">
        <v>343</v>
      </c>
      <c r="C25" s="25" t="s">
        <v>299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 t="s">
        <v>299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2">
        <f t="shared" si="0"/>
        <v>1</v>
      </c>
    </row>
    <row r="26" spans="1:29" x14ac:dyDescent="0.2">
      <c r="A26" s="25" t="s">
        <v>344</v>
      </c>
      <c r="B26" s="26" t="s">
        <v>345</v>
      </c>
      <c r="C26" s="25" t="s">
        <v>299</v>
      </c>
      <c r="D26" s="25"/>
      <c r="E26" s="25"/>
      <c r="F26" s="25"/>
      <c r="G26" s="25"/>
      <c r="H26" s="25"/>
      <c r="I26" s="25"/>
      <c r="J26" s="25"/>
      <c r="K26" s="25"/>
      <c r="L26" s="25" t="s">
        <v>299</v>
      </c>
      <c r="M26" s="25"/>
      <c r="N26" s="25" t="s">
        <v>299</v>
      </c>
      <c r="O26" s="25"/>
      <c r="P26" s="25" t="s">
        <v>299</v>
      </c>
      <c r="Q26" s="25"/>
      <c r="R26" s="25"/>
      <c r="S26" s="25"/>
      <c r="T26" s="25" t="s">
        <v>299</v>
      </c>
      <c r="U26" s="25"/>
      <c r="V26" s="25" t="s">
        <v>299</v>
      </c>
      <c r="W26" s="25"/>
      <c r="X26" s="25"/>
      <c r="Y26" s="25"/>
      <c r="Z26" s="25"/>
      <c r="AA26" s="25"/>
      <c r="AB26" s="25"/>
      <c r="AC26" s="22">
        <f t="shared" si="0"/>
        <v>5</v>
      </c>
    </row>
    <row r="27" spans="1:29" x14ac:dyDescent="0.2">
      <c r="A27" s="25" t="s">
        <v>346</v>
      </c>
      <c r="B27" s="26" t="s">
        <v>347</v>
      </c>
      <c r="C27" s="25" t="s">
        <v>299</v>
      </c>
      <c r="D27" s="25"/>
      <c r="E27" s="25"/>
      <c r="F27" s="25"/>
      <c r="G27" s="25"/>
      <c r="H27" s="25"/>
      <c r="I27" s="25"/>
      <c r="J27" s="25"/>
      <c r="K27" s="25"/>
      <c r="L27" s="25" t="s">
        <v>299</v>
      </c>
      <c r="M27" s="25"/>
      <c r="N27" s="25"/>
      <c r="O27" s="25"/>
      <c r="P27" s="25" t="s">
        <v>299</v>
      </c>
      <c r="Q27" s="25" t="s">
        <v>299</v>
      </c>
      <c r="R27" s="25" t="s">
        <v>299</v>
      </c>
      <c r="S27" s="25"/>
      <c r="T27" s="25" t="s">
        <v>299</v>
      </c>
      <c r="U27" s="25" t="s">
        <v>299</v>
      </c>
      <c r="V27" s="25" t="s">
        <v>299</v>
      </c>
      <c r="W27" s="25"/>
      <c r="X27" s="25"/>
      <c r="Y27" s="25"/>
      <c r="Z27" s="25"/>
      <c r="AA27" s="25"/>
      <c r="AB27" s="25"/>
      <c r="AC27" s="22">
        <f t="shared" si="0"/>
        <v>7</v>
      </c>
    </row>
    <row r="28" spans="1:29" x14ac:dyDescent="0.2">
      <c r="A28" s="25" t="s">
        <v>348</v>
      </c>
      <c r="B28" s="26" t="s">
        <v>349</v>
      </c>
      <c r="C28" s="25" t="s">
        <v>299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 t="s">
        <v>299</v>
      </c>
      <c r="T28" s="25"/>
      <c r="U28" s="25"/>
      <c r="V28" s="25"/>
      <c r="W28" s="25"/>
      <c r="X28" s="25"/>
      <c r="Y28" s="25"/>
      <c r="Z28" s="25"/>
      <c r="AA28" s="25"/>
      <c r="AB28" s="25"/>
      <c r="AC28" s="22">
        <f t="shared" si="0"/>
        <v>1</v>
      </c>
    </row>
    <row r="29" spans="1:29" x14ac:dyDescent="0.2">
      <c r="A29" s="25" t="s">
        <v>350</v>
      </c>
      <c r="B29" s="26" t="s">
        <v>351</v>
      </c>
      <c r="C29" s="25" t="s">
        <v>299</v>
      </c>
      <c r="D29" s="25"/>
      <c r="E29" s="25"/>
      <c r="F29" s="25"/>
      <c r="G29" s="25"/>
      <c r="H29" s="25"/>
      <c r="I29" s="25" t="s">
        <v>299</v>
      </c>
      <c r="J29" s="25"/>
      <c r="K29" s="25"/>
      <c r="L29" s="25" t="s">
        <v>299</v>
      </c>
      <c r="M29" s="25"/>
      <c r="N29" s="25"/>
      <c r="O29" s="25" t="s">
        <v>299</v>
      </c>
      <c r="P29" s="25" t="s">
        <v>299</v>
      </c>
      <c r="Q29" s="25" t="s">
        <v>299</v>
      </c>
      <c r="R29" s="25" t="s">
        <v>299</v>
      </c>
      <c r="S29" s="25" t="s">
        <v>299</v>
      </c>
      <c r="T29" s="25" t="s">
        <v>299</v>
      </c>
      <c r="U29" s="25"/>
      <c r="V29" s="25" t="s">
        <v>299</v>
      </c>
      <c r="W29" s="25"/>
      <c r="X29" s="25"/>
      <c r="Y29" s="25" t="s">
        <v>299</v>
      </c>
      <c r="Z29" s="25" t="s">
        <v>299</v>
      </c>
      <c r="AA29" s="25"/>
      <c r="AB29" s="25"/>
      <c r="AC29" s="22">
        <f t="shared" si="0"/>
        <v>11</v>
      </c>
    </row>
    <row r="30" spans="1:29" x14ac:dyDescent="0.2">
      <c r="A30" s="25" t="s">
        <v>352</v>
      </c>
      <c r="B30" s="26" t="s">
        <v>353</v>
      </c>
      <c r="C30" s="25" t="s">
        <v>299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 t="s">
        <v>299</v>
      </c>
      <c r="T30" s="25" t="s">
        <v>299</v>
      </c>
      <c r="U30" s="25" t="s">
        <v>299</v>
      </c>
      <c r="V30" s="25" t="s">
        <v>299</v>
      </c>
      <c r="W30" s="25"/>
      <c r="X30" s="25"/>
      <c r="Y30" s="25"/>
      <c r="Z30" s="25"/>
      <c r="AA30" s="25"/>
      <c r="AB30" s="25"/>
      <c r="AC30" s="22">
        <f t="shared" si="0"/>
        <v>4</v>
      </c>
    </row>
    <row r="31" spans="1:29" x14ac:dyDescent="0.2">
      <c r="A31" s="25" t="s">
        <v>354</v>
      </c>
      <c r="B31" s="26" t="s">
        <v>355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2">
        <f t="shared" si="0"/>
        <v>0</v>
      </c>
    </row>
    <row r="32" spans="1:29" x14ac:dyDescent="0.2">
      <c r="A32" s="25" t="s">
        <v>356</v>
      </c>
      <c r="B32" s="26" t="s">
        <v>357</v>
      </c>
      <c r="C32" s="25" t="s">
        <v>299</v>
      </c>
      <c r="D32" s="25" t="s">
        <v>299</v>
      </c>
      <c r="E32" s="25"/>
      <c r="F32" s="25" t="s">
        <v>299</v>
      </c>
      <c r="G32" s="25"/>
      <c r="H32" s="25"/>
      <c r="I32" s="25" t="s">
        <v>299</v>
      </c>
      <c r="J32" s="25"/>
      <c r="K32" s="25"/>
      <c r="L32" s="25" t="s">
        <v>299</v>
      </c>
      <c r="M32" s="25"/>
      <c r="N32" s="25"/>
      <c r="O32" s="25"/>
      <c r="P32" s="25" t="s">
        <v>299</v>
      </c>
      <c r="Q32" s="25"/>
      <c r="R32" s="25"/>
      <c r="S32" s="25"/>
      <c r="T32" s="25" t="s">
        <v>299</v>
      </c>
      <c r="U32" s="25"/>
      <c r="V32" s="25" t="s">
        <v>299</v>
      </c>
      <c r="W32" s="25" t="s">
        <v>299</v>
      </c>
      <c r="X32" s="25"/>
      <c r="Y32" s="25"/>
      <c r="Z32" s="25"/>
      <c r="AA32" s="25"/>
      <c r="AB32" s="25"/>
      <c r="AC32" s="22">
        <f t="shared" si="0"/>
        <v>8</v>
      </c>
    </row>
    <row r="33" spans="1:29" x14ac:dyDescent="0.2">
      <c r="A33" s="25" t="s">
        <v>358</v>
      </c>
      <c r="B33" s="26" t="s">
        <v>359</v>
      </c>
      <c r="C33" s="25" t="s">
        <v>299</v>
      </c>
      <c r="D33" s="25"/>
      <c r="E33" s="25"/>
      <c r="F33" s="25"/>
      <c r="G33" s="25"/>
      <c r="H33" s="25"/>
      <c r="I33" s="25" t="s">
        <v>299</v>
      </c>
      <c r="J33" s="25"/>
      <c r="K33" s="25"/>
      <c r="L33" s="25" t="s">
        <v>299</v>
      </c>
      <c r="M33" s="25"/>
      <c r="N33" s="25"/>
      <c r="O33" s="25"/>
      <c r="P33" s="25" t="s">
        <v>299</v>
      </c>
      <c r="Q33" s="25"/>
      <c r="R33" s="25"/>
      <c r="S33" s="25"/>
      <c r="T33" s="25" t="s">
        <v>299</v>
      </c>
      <c r="U33" s="25"/>
      <c r="V33" s="25" t="s">
        <v>299</v>
      </c>
      <c r="W33" s="25"/>
      <c r="X33" s="25"/>
      <c r="Y33" s="25"/>
      <c r="Z33" s="25"/>
      <c r="AA33" s="25"/>
      <c r="AB33" s="25"/>
      <c r="AC33" s="22">
        <f t="shared" si="0"/>
        <v>5</v>
      </c>
    </row>
    <row r="34" spans="1:29" x14ac:dyDescent="0.2">
      <c r="A34" s="25" t="s">
        <v>360</v>
      </c>
      <c r="B34" s="26" t="s">
        <v>361</v>
      </c>
      <c r="C34" s="25" t="s">
        <v>299</v>
      </c>
      <c r="D34" s="25"/>
      <c r="E34" s="25"/>
      <c r="F34" s="25"/>
      <c r="G34" s="25"/>
      <c r="H34" s="25"/>
      <c r="I34" s="25" t="s">
        <v>299</v>
      </c>
      <c r="J34" s="25"/>
      <c r="K34" s="25"/>
      <c r="L34" s="25" t="s">
        <v>299</v>
      </c>
      <c r="M34" s="25"/>
      <c r="N34" s="25"/>
      <c r="O34" s="25"/>
      <c r="P34" s="25" t="s">
        <v>299</v>
      </c>
      <c r="Q34" s="25"/>
      <c r="R34" s="25"/>
      <c r="S34" s="25"/>
      <c r="T34" s="25" t="s">
        <v>299</v>
      </c>
      <c r="U34" s="25"/>
      <c r="V34" s="25" t="s">
        <v>299</v>
      </c>
      <c r="W34" s="25"/>
      <c r="X34" s="25"/>
      <c r="Y34" s="25"/>
      <c r="Z34" s="25"/>
      <c r="AA34" s="25"/>
      <c r="AB34" s="25"/>
      <c r="AC34" s="22">
        <f t="shared" si="0"/>
        <v>5</v>
      </c>
    </row>
    <row r="35" spans="1:29" x14ac:dyDescent="0.2">
      <c r="A35" s="25" t="s">
        <v>362</v>
      </c>
      <c r="B35" s="26" t="s">
        <v>363</v>
      </c>
      <c r="C35" s="25" t="s">
        <v>299</v>
      </c>
      <c r="D35" s="25" t="s">
        <v>299</v>
      </c>
      <c r="E35" s="25" t="s">
        <v>299</v>
      </c>
      <c r="F35" s="25" t="s">
        <v>299</v>
      </c>
      <c r="G35" s="25" t="s">
        <v>299</v>
      </c>
      <c r="H35" s="25" t="s">
        <v>299</v>
      </c>
      <c r="I35" s="25" t="s">
        <v>299</v>
      </c>
      <c r="J35" s="25" t="s">
        <v>299</v>
      </c>
      <c r="K35" s="25" t="s">
        <v>299</v>
      </c>
      <c r="L35" s="25" t="s">
        <v>299</v>
      </c>
      <c r="M35" s="25" t="s">
        <v>299</v>
      </c>
      <c r="N35" s="25"/>
      <c r="O35" s="25" t="s">
        <v>299</v>
      </c>
      <c r="P35" s="25" t="s">
        <v>299</v>
      </c>
      <c r="Q35" s="25" t="s">
        <v>299</v>
      </c>
      <c r="R35" s="25" t="s">
        <v>299</v>
      </c>
      <c r="S35" s="25" t="s">
        <v>299</v>
      </c>
      <c r="T35" s="25" t="s">
        <v>299</v>
      </c>
      <c r="U35" s="25" t="s">
        <v>299</v>
      </c>
      <c r="V35" s="25" t="s">
        <v>299</v>
      </c>
      <c r="W35" s="25"/>
      <c r="X35" s="25" t="s">
        <v>299</v>
      </c>
      <c r="Y35" s="25"/>
      <c r="Z35" s="25"/>
      <c r="AA35" s="25"/>
      <c r="AB35" s="25"/>
      <c r="AC35" s="22">
        <f t="shared" si="0"/>
        <v>19</v>
      </c>
    </row>
    <row r="36" spans="1:29" x14ac:dyDescent="0.2">
      <c r="A36" s="25" t="s">
        <v>364</v>
      </c>
      <c r="B36" s="26" t="s">
        <v>365</v>
      </c>
      <c r="C36" s="25" t="s">
        <v>299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 t="s">
        <v>299</v>
      </c>
      <c r="T36" s="25" t="s">
        <v>299</v>
      </c>
      <c r="U36" s="25"/>
      <c r="V36" s="25" t="s">
        <v>299</v>
      </c>
      <c r="W36" s="25"/>
      <c r="X36" s="25"/>
      <c r="Y36" s="25"/>
      <c r="Z36" s="25"/>
      <c r="AA36" s="25"/>
      <c r="AB36" s="25"/>
      <c r="AC36" s="22">
        <f t="shared" si="0"/>
        <v>3</v>
      </c>
    </row>
    <row r="37" spans="1:29" x14ac:dyDescent="0.2">
      <c r="A37" s="25" t="s">
        <v>366</v>
      </c>
      <c r="B37" s="26" t="s">
        <v>367</v>
      </c>
      <c r="C37" s="25" t="s">
        <v>299</v>
      </c>
      <c r="D37" s="25" t="s">
        <v>299</v>
      </c>
      <c r="E37" s="25" t="s">
        <v>299</v>
      </c>
      <c r="F37" s="25" t="s">
        <v>299</v>
      </c>
      <c r="G37" s="25" t="s">
        <v>299</v>
      </c>
      <c r="H37" s="25" t="s">
        <v>299</v>
      </c>
      <c r="I37" s="25" t="s">
        <v>299</v>
      </c>
      <c r="J37" s="25" t="s">
        <v>299</v>
      </c>
      <c r="K37" s="25" t="s">
        <v>299</v>
      </c>
      <c r="L37" s="25" t="s">
        <v>299</v>
      </c>
      <c r="M37" s="25" t="s">
        <v>299</v>
      </c>
      <c r="N37" s="25"/>
      <c r="O37" s="25"/>
      <c r="P37" s="25" t="s">
        <v>299</v>
      </c>
      <c r="Q37" s="25" t="s">
        <v>299</v>
      </c>
      <c r="R37" s="25" t="s">
        <v>299</v>
      </c>
      <c r="S37" s="25" t="s">
        <v>299</v>
      </c>
      <c r="T37" s="25" t="s">
        <v>299</v>
      </c>
      <c r="U37" s="25" t="s">
        <v>299</v>
      </c>
      <c r="V37" s="25" t="s">
        <v>299</v>
      </c>
      <c r="W37" s="25"/>
      <c r="X37" s="25" t="s">
        <v>299</v>
      </c>
      <c r="Y37" s="25"/>
      <c r="Z37" s="25"/>
      <c r="AA37" s="25"/>
      <c r="AB37" s="25"/>
      <c r="AC37" s="22">
        <f t="shared" si="0"/>
        <v>18</v>
      </c>
    </row>
    <row r="38" spans="1:29" x14ac:dyDescent="0.2">
      <c r="A38" s="25" t="s">
        <v>368</v>
      </c>
      <c r="B38" s="26" t="s">
        <v>369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2">
        <f t="shared" si="0"/>
        <v>0</v>
      </c>
    </row>
    <row r="39" spans="1:29" x14ac:dyDescent="0.2">
      <c r="A39" s="25" t="s">
        <v>370</v>
      </c>
      <c r="B39" s="26" t="s">
        <v>371</v>
      </c>
      <c r="C39" s="25" t="s">
        <v>299</v>
      </c>
      <c r="D39" s="25"/>
      <c r="E39" s="25"/>
      <c r="F39" s="25"/>
      <c r="G39" s="25"/>
      <c r="H39" s="25"/>
      <c r="I39" s="25" t="s">
        <v>299</v>
      </c>
      <c r="J39" s="25"/>
      <c r="K39" s="25"/>
      <c r="L39" s="25" t="s">
        <v>299</v>
      </c>
      <c r="M39" s="25" t="s">
        <v>299</v>
      </c>
      <c r="N39" s="25" t="s">
        <v>299</v>
      </c>
      <c r="O39" s="25" t="s">
        <v>299</v>
      </c>
      <c r="P39" s="25" t="s">
        <v>299</v>
      </c>
      <c r="Q39" s="25" t="s">
        <v>299</v>
      </c>
      <c r="R39" s="25" t="s">
        <v>299</v>
      </c>
      <c r="S39" s="25" t="s">
        <v>299</v>
      </c>
      <c r="T39" s="25" t="s">
        <v>299</v>
      </c>
      <c r="U39" s="25"/>
      <c r="V39" s="25" t="s">
        <v>299</v>
      </c>
      <c r="W39" s="25"/>
      <c r="X39" s="25"/>
      <c r="Y39" s="25"/>
      <c r="Z39" s="25"/>
      <c r="AA39" s="25"/>
      <c r="AB39" s="25"/>
      <c r="AC39" s="22">
        <f t="shared" si="0"/>
        <v>11</v>
      </c>
    </row>
    <row r="40" spans="1:29" x14ac:dyDescent="0.2">
      <c r="A40" s="25" t="s">
        <v>372</v>
      </c>
      <c r="B40" s="26" t="s">
        <v>37</v>
      </c>
      <c r="C40" s="25" t="s">
        <v>299</v>
      </c>
      <c r="D40" s="25"/>
      <c r="E40" s="25"/>
      <c r="F40" s="25"/>
      <c r="G40" s="25"/>
      <c r="H40" s="25"/>
      <c r="I40" s="25"/>
      <c r="J40" s="25"/>
      <c r="K40" s="25"/>
      <c r="L40" s="25" t="s">
        <v>299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2">
        <f t="shared" si="0"/>
        <v>1</v>
      </c>
    </row>
    <row r="41" spans="1:29" x14ac:dyDescent="0.2">
      <c r="A41" s="25" t="s">
        <v>373</v>
      </c>
      <c r="B41" s="26" t="s">
        <v>374</v>
      </c>
      <c r="C41" s="25" t="s">
        <v>299</v>
      </c>
      <c r="D41" s="25"/>
      <c r="E41" s="25"/>
      <c r="F41" s="25"/>
      <c r="G41" s="25"/>
      <c r="H41" s="25" t="s">
        <v>299</v>
      </c>
      <c r="I41" s="25" t="s">
        <v>299</v>
      </c>
      <c r="J41" s="25"/>
      <c r="K41" s="25" t="s">
        <v>299</v>
      </c>
      <c r="L41" s="25" t="s">
        <v>299</v>
      </c>
      <c r="M41" s="25"/>
      <c r="N41" s="25" t="s">
        <v>299</v>
      </c>
      <c r="O41" s="25"/>
      <c r="P41" s="25" t="s">
        <v>299</v>
      </c>
      <c r="Q41" s="25"/>
      <c r="R41" s="25"/>
      <c r="S41" s="25" t="s">
        <v>299</v>
      </c>
      <c r="T41" s="25" t="s">
        <v>299</v>
      </c>
      <c r="U41" s="25"/>
      <c r="V41" s="25" t="s">
        <v>299</v>
      </c>
      <c r="W41" s="25"/>
      <c r="X41" s="25" t="s">
        <v>299</v>
      </c>
      <c r="Y41" s="25" t="s">
        <v>299</v>
      </c>
      <c r="Z41" s="25"/>
      <c r="AA41" s="25" t="s">
        <v>299</v>
      </c>
      <c r="AB41" s="25"/>
      <c r="AC41" s="22">
        <f t="shared" si="0"/>
        <v>12</v>
      </c>
    </row>
    <row r="42" spans="1:29" x14ac:dyDescent="0.2">
      <c r="A42" s="25" t="s">
        <v>375</v>
      </c>
      <c r="B42" s="26" t="s">
        <v>376</v>
      </c>
      <c r="C42" s="25" t="s">
        <v>299</v>
      </c>
      <c r="D42" s="25"/>
      <c r="E42" s="25"/>
      <c r="F42" s="25"/>
      <c r="G42" s="25"/>
      <c r="H42" s="25"/>
      <c r="I42" s="25"/>
      <c r="J42" s="25"/>
      <c r="K42" s="25"/>
      <c r="L42" s="25" t="s">
        <v>299</v>
      </c>
      <c r="M42" s="25"/>
      <c r="N42" s="25"/>
      <c r="O42" s="25"/>
      <c r="P42" s="25"/>
      <c r="Q42" s="25" t="s">
        <v>299</v>
      </c>
      <c r="R42" s="25" t="s">
        <v>299</v>
      </c>
      <c r="S42" s="25" t="s">
        <v>299</v>
      </c>
      <c r="T42" s="25" t="s">
        <v>299</v>
      </c>
      <c r="U42" s="25"/>
      <c r="V42" s="25" t="s">
        <v>299</v>
      </c>
      <c r="W42" s="25" t="s">
        <v>299</v>
      </c>
      <c r="X42" s="25"/>
      <c r="Y42" s="25"/>
      <c r="Z42" s="25"/>
      <c r="AA42" s="25"/>
      <c r="AB42" s="25"/>
      <c r="AC42" s="22">
        <f t="shared" si="0"/>
        <v>7</v>
      </c>
    </row>
    <row r="43" spans="1:29" x14ac:dyDescent="0.2">
      <c r="A43" s="25" t="s">
        <v>377</v>
      </c>
      <c r="B43" s="26" t="s">
        <v>378</v>
      </c>
      <c r="C43" s="25" t="s">
        <v>299</v>
      </c>
      <c r="D43" s="25"/>
      <c r="E43" s="25"/>
      <c r="F43" s="25"/>
      <c r="G43" s="25"/>
      <c r="H43" s="25"/>
      <c r="I43" s="25" t="s">
        <v>299</v>
      </c>
      <c r="J43" s="25"/>
      <c r="K43" s="25"/>
      <c r="L43" s="25" t="s">
        <v>299</v>
      </c>
      <c r="M43" s="25"/>
      <c r="N43" s="25"/>
      <c r="O43" s="25"/>
      <c r="P43" s="25" t="s">
        <v>299</v>
      </c>
      <c r="Q43" s="25"/>
      <c r="R43" s="25"/>
      <c r="S43" s="25"/>
      <c r="T43" s="25" t="s">
        <v>299</v>
      </c>
      <c r="U43" s="25"/>
      <c r="V43" s="25" t="s">
        <v>299</v>
      </c>
      <c r="W43" s="25"/>
      <c r="X43" s="25"/>
      <c r="Y43" s="25"/>
      <c r="Z43" s="25"/>
      <c r="AA43" s="25"/>
      <c r="AB43" s="25"/>
      <c r="AC43" s="22">
        <f t="shared" si="0"/>
        <v>5</v>
      </c>
    </row>
    <row r="44" spans="1:29" x14ac:dyDescent="0.2">
      <c r="A44" s="25" t="s">
        <v>379</v>
      </c>
      <c r="B44" s="26" t="s">
        <v>380</v>
      </c>
      <c r="C44" s="25" t="s">
        <v>299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 t="s">
        <v>299</v>
      </c>
      <c r="Q44" s="25"/>
      <c r="R44" s="25"/>
      <c r="S44" s="25" t="s">
        <v>299</v>
      </c>
      <c r="T44" s="25" t="s">
        <v>299</v>
      </c>
      <c r="U44" s="25"/>
      <c r="V44" s="25" t="s">
        <v>299</v>
      </c>
      <c r="W44" s="25"/>
      <c r="X44" s="25"/>
      <c r="Y44" s="25"/>
      <c r="Z44" s="25"/>
      <c r="AA44" s="25"/>
      <c r="AB44" s="25"/>
      <c r="AC44" s="22">
        <f t="shared" si="0"/>
        <v>4</v>
      </c>
    </row>
    <row r="45" spans="1:29" x14ac:dyDescent="0.2">
      <c r="A45" s="25" t="s">
        <v>381</v>
      </c>
      <c r="B45" s="26" t="s">
        <v>382</v>
      </c>
      <c r="C45" s="25" t="s">
        <v>299</v>
      </c>
      <c r="D45" s="25"/>
      <c r="E45" s="25"/>
      <c r="F45" s="25"/>
      <c r="G45" s="25"/>
      <c r="H45" s="25"/>
      <c r="I45" s="25" t="s">
        <v>299</v>
      </c>
      <c r="J45" s="25"/>
      <c r="K45" s="25"/>
      <c r="L45" s="25" t="s">
        <v>299</v>
      </c>
      <c r="M45" s="25"/>
      <c r="N45" s="25"/>
      <c r="O45" s="25"/>
      <c r="P45" s="25" t="s">
        <v>299</v>
      </c>
      <c r="Q45" s="25"/>
      <c r="R45" s="25"/>
      <c r="S45" s="25" t="s">
        <v>299</v>
      </c>
      <c r="T45" s="25" t="s">
        <v>299</v>
      </c>
      <c r="U45" s="25" t="s">
        <v>299</v>
      </c>
      <c r="V45" s="25" t="s">
        <v>299</v>
      </c>
      <c r="W45" s="25" t="s">
        <v>299</v>
      </c>
      <c r="X45" s="25"/>
      <c r="Y45" s="25"/>
      <c r="Z45" s="25"/>
      <c r="AA45" s="25" t="s">
        <v>299</v>
      </c>
      <c r="AB45" s="25"/>
      <c r="AC45" s="22">
        <f t="shared" si="0"/>
        <v>9</v>
      </c>
    </row>
    <row r="46" spans="1:29" x14ac:dyDescent="0.2">
      <c r="A46" s="25" t="s">
        <v>383</v>
      </c>
      <c r="B46" s="26" t="s">
        <v>384</v>
      </c>
      <c r="C46" s="25" t="s">
        <v>299</v>
      </c>
      <c r="D46" s="25"/>
      <c r="E46" s="25"/>
      <c r="F46" s="25"/>
      <c r="G46" s="25"/>
      <c r="H46" s="25"/>
      <c r="I46" s="25" t="s">
        <v>299</v>
      </c>
      <c r="J46" s="25"/>
      <c r="K46" s="25"/>
      <c r="L46" s="25" t="s">
        <v>299</v>
      </c>
      <c r="M46" s="25"/>
      <c r="N46" s="25"/>
      <c r="O46" s="25"/>
      <c r="P46" s="25" t="s">
        <v>299</v>
      </c>
      <c r="Q46" s="25"/>
      <c r="R46" s="25"/>
      <c r="S46" s="25" t="s">
        <v>299</v>
      </c>
      <c r="T46" s="25" t="s">
        <v>299</v>
      </c>
      <c r="U46" s="25"/>
      <c r="V46" s="25" t="s">
        <v>299</v>
      </c>
      <c r="W46" s="25"/>
      <c r="X46" s="25"/>
      <c r="Y46" s="25"/>
      <c r="Z46" s="25"/>
      <c r="AA46" s="25"/>
      <c r="AB46" s="25"/>
      <c r="AC46" s="22">
        <f t="shared" si="0"/>
        <v>6</v>
      </c>
    </row>
    <row r="47" spans="1:29" x14ac:dyDescent="0.2">
      <c r="A47" s="25" t="s">
        <v>385</v>
      </c>
      <c r="B47" s="26" t="s">
        <v>386</v>
      </c>
      <c r="C47" s="25" t="s">
        <v>299</v>
      </c>
      <c r="D47" s="25"/>
      <c r="E47" s="25"/>
      <c r="F47" s="25"/>
      <c r="G47" s="25"/>
      <c r="H47" s="25"/>
      <c r="I47" s="25" t="s">
        <v>299</v>
      </c>
      <c r="J47" s="25"/>
      <c r="K47" s="25"/>
      <c r="L47" s="25"/>
      <c r="M47" s="25"/>
      <c r="N47" s="25"/>
      <c r="O47" s="25"/>
      <c r="P47" s="25" t="s">
        <v>299</v>
      </c>
      <c r="Q47" s="25" t="s">
        <v>299</v>
      </c>
      <c r="R47" s="25" t="s">
        <v>299</v>
      </c>
      <c r="S47" s="25" t="s">
        <v>299</v>
      </c>
      <c r="T47" s="25" t="s">
        <v>299</v>
      </c>
      <c r="U47" s="25"/>
      <c r="V47" s="25" t="s">
        <v>299</v>
      </c>
      <c r="W47" s="25"/>
      <c r="X47" s="25"/>
      <c r="Y47" s="25"/>
      <c r="Z47" s="25"/>
      <c r="AA47" s="25"/>
      <c r="AB47" s="25"/>
      <c r="AC47" s="22">
        <f t="shared" si="0"/>
        <v>7</v>
      </c>
    </row>
    <row r="48" spans="1:29" x14ac:dyDescent="0.2">
      <c r="A48" s="25" t="s">
        <v>387</v>
      </c>
      <c r="B48" s="26" t="s">
        <v>388</v>
      </c>
      <c r="C48" s="25" t="s">
        <v>299</v>
      </c>
      <c r="D48" s="25"/>
      <c r="E48" s="25"/>
      <c r="F48" s="25"/>
      <c r="G48" s="25"/>
      <c r="H48" s="25"/>
      <c r="I48" s="25" t="s">
        <v>299</v>
      </c>
      <c r="J48" s="25"/>
      <c r="K48" s="25"/>
      <c r="L48" s="25" t="s">
        <v>299</v>
      </c>
      <c r="M48" s="25"/>
      <c r="N48" s="25"/>
      <c r="O48" s="25"/>
      <c r="P48" s="25" t="s">
        <v>299</v>
      </c>
      <c r="Q48" s="25"/>
      <c r="R48" s="25"/>
      <c r="S48" s="25" t="s">
        <v>299</v>
      </c>
      <c r="T48" s="25" t="s">
        <v>299</v>
      </c>
      <c r="U48" s="25"/>
      <c r="V48" s="25" t="s">
        <v>299</v>
      </c>
      <c r="W48" s="25"/>
      <c r="X48" s="25"/>
      <c r="Y48" s="25"/>
      <c r="Z48" s="25"/>
      <c r="AA48" s="25"/>
      <c r="AB48" s="25"/>
      <c r="AC48" s="22">
        <f t="shared" si="0"/>
        <v>6</v>
      </c>
    </row>
    <row r="49" spans="1:29" x14ac:dyDescent="0.2">
      <c r="A49" s="25" t="s">
        <v>389</v>
      </c>
      <c r="B49" s="26" t="s">
        <v>390</v>
      </c>
      <c r="C49" s="25" t="s">
        <v>299</v>
      </c>
      <c r="D49" s="25"/>
      <c r="E49" s="25"/>
      <c r="F49" s="25"/>
      <c r="G49" s="25"/>
      <c r="H49" s="25"/>
      <c r="I49" s="25"/>
      <c r="J49" s="25"/>
      <c r="K49" s="25"/>
      <c r="L49" s="25" t="s">
        <v>299</v>
      </c>
      <c r="M49" s="25"/>
      <c r="N49" s="25"/>
      <c r="O49" s="25"/>
      <c r="P49" s="25" t="s">
        <v>299</v>
      </c>
      <c r="Q49" s="25" t="s">
        <v>299</v>
      </c>
      <c r="R49" s="25" t="s">
        <v>299</v>
      </c>
      <c r="S49" s="25" t="s">
        <v>299</v>
      </c>
      <c r="T49" s="25" t="s">
        <v>299</v>
      </c>
      <c r="U49" s="25"/>
      <c r="V49" s="25" t="s">
        <v>299</v>
      </c>
      <c r="W49" s="25"/>
      <c r="X49" s="25"/>
      <c r="Y49" s="25"/>
      <c r="Z49" s="25"/>
      <c r="AA49" s="25"/>
      <c r="AB49" s="25"/>
      <c r="AC49" s="22">
        <f t="shared" si="0"/>
        <v>7</v>
      </c>
    </row>
    <row r="50" spans="1:29" x14ac:dyDescent="0.2">
      <c r="A50" s="25" t="s">
        <v>391</v>
      </c>
      <c r="B50" s="26" t="s">
        <v>392</v>
      </c>
      <c r="C50" s="25" t="s">
        <v>299</v>
      </c>
      <c r="D50" s="25"/>
      <c r="E50" s="25"/>
      <c r="F50" s="25"/>
      <c r="G50" s="25"/>
      <c r="H50" s="25"/>
      <c r="I50" s="25"/>
      <c r="J50" s="25"/>
      <c r="K50" s="25"/>
      <c r="L50" s="25" t="s">
        <v>299</v>
      </c>
      <c r="M50" s="25"/>
      <c r="N50" s="25"/>
      <c r="O50" s="25"/>
      <c r="P50" s="25" t="s">
        <v>299</v>
      </c>
      <c r="Q50" s="25"/>
      <c r="R50" s="25"/>
      <c r="S50" s="25"/>
      <c r="T50" s="25" t="s">
        <v>299</v>
      </c>
      <c r="U50" s="25"/>
      <c r="V50" s="25" t="s">
        <v>299</v>
      </c>
      <c r="W50" s="25"/>
      <c r="X50" s="25"/>
      <c r="Y50" s="25"/>
      <c r="Z50" s="25"/>
      <c r="AA50" s="25"/>
      <c r="AB50" s="25"/>
      <c r="AC50" s="22">
        <f t="shared" si="0"/>
        <v>4</v>
      </c>
    </row>
    <row r="51" spans="1:29" x14ac:dyDescent="0.2">
      <c r="A51" s="25" t="s">
        <v>393</v>
      </c>
      <c r="B51" s="26" t="s">
        <v>394</v>
      </c>
      <c r="C51" s="25" t="s">
        <v>299</v>
      </c>
      <c r="D51" s="25"/>
      <c r="E51" s="25"/>
      <c r="F51" s="25"/>
      <c r="G51" s="25"/>
      <c r="H51" s="25"/>
      <c r="I51" s="25"/>
      <c r="J51" s="25"/>
      <c r="K51" s="25"/>
      <c r="L51" s="25" t="s">
        <v>299</v>
      </c>
      <c r="M51" s="25"/>
      <c r="N51" s="25" t="s">
        <v>299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2">
        <f t="shared" si="0"/>
        <v>2</v>
      </c>
    </row>
    <row r="52" spans="1:29" x14ac:dyDescent="0.2">
      <c r="A52" s="25" t="s">
        <v>395</v>
      </c>
      <c r="B52" s="26" t="s">
        <v>303</v>
      </c>
      <c r="C52" s="25" t="s">
        <v>299</v>
      </c>
      <c r="D52" s="25"/>
      <c r="E52" s="25"/>
      <c r="F52" s="25"/>
      <c r="G52" s="25"/>
      <c r="H52" s="25"/>
      <c r="I52" s="25" t="s">
        <v>299</v>
      </c>
      <c r="J52" s="25"/>
      <c r="K52" s="25"/>
      <c r="L52" s="25" t="s">
        <v>299</v>
      </c>
      <c r="M52" s="25" t="s">
        <v>299</v>
      </c>
      <c r="N52" s="25" t="s">
        <v>299</v>
      </c>
      <c r="O52" s="25" t="s">
        <v>299</v>
      </c>
      <c r="P52" s="25" t="s">
        <v>299</v>
      </c>
      <c r="Q52" s="25" t="s">
        <v>299</v>
      </c>
      <c r="R52" s="25" t="s">
        <v>299</v>
      </c>
      <c r="S52" s="25" t="s">
        <v>299</v>
      </c>
      <c r="T52" s="25" t="s">
        <v>299</v>
      </c>
      <c r="U52" s="25"/>
      <c r="V52" s="25" t="s">
        <v>299</v>
      </c>
      <c r="W52" s="25"/>
      <c r="X52" s="25"/>
      <c r="Y52" s="25"/>
      <c r="Z52" s="25"/>
      <c r="AA52" s="25" t="s">
        <v>299</v>
      </c>
      <c r="AB52" s="25"/>
      <c r="AC52" s="22">
        <f t="shared" si="0"/>
        <v>12</v>
      </c>
    </row>
    <row r="53" spans="1:29" x14ac:dyDescent="0.2">
      <c r="A53" s="25" t="s">
        <v>396</v>
      </c>
      <c r="B53" s="26" t="s">
        <v>397</v>
      </c>
      <c r="C53" s="25" t="s">
        <v>299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 t="s">
        <v>299</v>
      </c>
      <c r="Q53" s="25"/>
      <c r="R53" s="25"/>
      <c r="S53" s="25"/>
      <c r="T53" s="25" t="s">
        <v>299</v>
      </c>
      <c r="U53" s="25"/>
      <c r="V53" s="25" t="s">
        <v>299</v>
      </c>
      <c r="W53" s="25"/>
      <c r="X53" s="25"/>
      <c r="Y53" s="25"/>
      <c r="Z53" s="25"/>
      <c r="AA53" s="25"/>
      <c r="AB53" s="25"/>
      <c r="AC53" s="22">
        <f t="shared" si="0"/>
        <v>3</v>
      </c>
    </row>
    <row r="54" spans="1:29" x14ac:dyDescent="0.2">
      <c r="A54" s="25" t="s">
        <v>398</v>
      </c>
      <c r="B54" s="26" t="s">
        <v>399</v>
      </c>
      <c r="C54" s="25" t="s">
        <v>299</v>
      </c>
      <c r="D54" s="25"/>
      <c r="E54" s="25"/>
      <c r="F54" s="25"/>
      <c r="G54" s="25"/>
      <c r="H54" s="25"/>
      <c r="I54" s="25"/>
      <c r="J54" s="25"/>
      <c r="K54" s="25"/>
      <c r="L54" s="25" t="s">
        <v>299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2">
        <f t="shared" si="0"/>
        <v>1</v>
      </c>
    </row>
    <row r="55" spans="1:29" x14ac:dyDescent="0.2">
      <c r="A55" s="25" t="s">
        <v>400</v>
      </c>
      <c r="B55" s="26" t="s">
        <v>401</v>
      </c>
      <c r="C55" s="25" t="s">
        <v>299</v>
      </c>
      <c r="D55" s="25"/>
      <c r="E55" s="25"/>
      <c r="F55" s="25"/>
      <c r="G55" s="25"/>
      <c r="H55" s="25"/>
      <c r="I55" s="25" t="s">
        <v>299</v>
      </c>
      <c r="J55" s="25"/>
      <c r="K55" s="25"/>
      <c r="L55" s="25" t="s">
        <v>299</v>
      </c>
      <c r="M55" s="25"/>
      <c r="N55" s="25"/>
      <c r="O55" s="25"/>
      <c r="P55" s="25" t="s">
        <v>299</v>
      </c>
      <c r="Q55" s="25"/>
      <c r="R55" s="25"/>
      <c r="S55" s="25"/>
      <c r="T55" s="25" t="s">
        <v>299</v>
      </c>
      <c r="U55" s="25"/>
      <c r="V55" s="25" t="s">
        <v>299</v>
      </c>
      <c r="W55" s="25"/>
      <c r="X55" s="25"/>
      <c r="Y55" s="25"/>
      <c r="Z55" s="25"/>
      <c r="AA55" s="25"/>
      <c r="AB55" s="25"/>
      <c r="AC55" s="22">
        <f t="shared" si="0"/>
        <v>5</v>
      </c>
    </row>
    <row r="56" spans="1:29" x14ac:dyDescent="0.2">
      <c r="A56" s="25" t="s">
        <v>402</v>
      </c>
      <c r="B56" s="26" t="s">
        <v>403</v>
      </c>
      <c r="C56" s="25" t="s">
        <v>299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 t="s">
        <v>299</v>
      </c>
      <c r="T56" s="25" t="s">
        <v>299</v>
      </c>
      <c r="U56" s="25"/>
      <c r="V56" s="25" t="s">
        <v>299</v>
      </c>
      <c r="W56" s="25" t="s">
        <v>299</v>
      </c>
      <c r="X56" s="25"/>
      <c r="Y56" s="25"/>
      <c r="Z56" s="25"/>
      <c r="AA56" s="25"/>
      <c r="AB56" s="25"/>
      <c r="AC56" s="22">
        <f t="shared" si="0"/>
        <v>4</v>
      </c>
    </row>
    <row r="57" spans="1:29" x14ac:dyDescent="0.2">
      <c r="A57" s="25" t="s">
        <v>404</v>
      </c>
      <c r="B57" s="26" t="s">
        <v>405</v>
      </c>
      <c r="C57" s="25" t="s">
        <v>299</v>
      </c>
      <c r="D57" s="25"/>
      <c r="E57" s="25"/>
      <c r="F57" s="25"/>
      <c r="G57" s="25"/>
      <c r="H57" s="25"/>
      <c r="I57" s="25" t="s">
        <v>299</v>
      </c>
      <c r="J57" s="25"/>
      <c r="K57" s="25"/>
      <c r="L57" s="25" t="s">
        <v>299</v>
      </c>
      <c r="M57" s="25"/>
      <c r="N57" s="25" t="s">
        <v>299</v>
      </c>
      <c r="O57" s="25" t="s">
        <v>299</v>
      </c>
      <c r="P57" s="25" t="s">
        <v>299</v>
      </c>
      <c r="Q57" s="25" t="s">
        <v>299</v>
      </c>
      <c r="R57" s="25" t="s">
        <v>299</v>
      </c>
      <c r="S57" s="25" t="s">
        <v>299</v>
      </c>
      <c r="T57" s="25" t="s">
        <v>299</v>
      </c>
      <c r="U57" s="25" t="s">
        <v>299</v>
      </c>
      <c r="V57" s="25" t="s">
        <v>299</v>
      </c>
      <c r="W57" s="25"/>
      <c r="X57" s="25" t="s">
        <v>299</v>
      </c>
      <c r="Y57" s="25"/>
      <c r="Z57" s="25"/>
      <c r="AA57" s="25" t="s">
        <v>299</v>
      </c>
      <c r="AB57" s="25"/>
      <c r="AC57" s="22">
        <f t="shared" si="0"/>
        <v>13</v>
      </c>
    </row>
    <row r="58" spans="1:29" x14ac:dyDescent="0.2">
      <c r="A58" s="25" t="s">
        <v>406</v>
      </c>
      <c r="B58" s="26" t="s">
        <v>298</v>
      </c>
      <c r="C58" s="25" t="s">
        <v>299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 t="s">
        <v>299</v>
      </c>
      <c r="Q58" s="25"/>
      <c r="R58" s="25"/>
      <c r="S58" s="25"/>
      <c r="T58" s="25" t="s">
        <v>299</v>
      </c>
      <c r="U58" s="25"/>
      <c r="V58" s="25" t="s">
        <v>299</v>
      </c>
      <c r="W58" s="25"/>
      <c r="X58" s="25"/>
      <c r="Y58" s="25"/>
      <c r="Z58" s="25"/>
      <c r="AA58" s="25"/>
      <c r="AB58" s="25"/>
      <c r="AC58" s="22">
        <f t="shared" si="0"/>
        <v>3</v>
      </c>
    </row>
    <row r="59" spans="1:29" x14ac:dyDescent="0.2">
      <c r="A59" s="25" t="s">
        <v>407</v>
      </c>
      <c r="B59" s="26" t="s">
        <v>408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2">
        <f t="shared" si="0"/>
        <v>0</v>
      </c>
    </row>
    <row r="60" spans="1:29" x14ac:dyDescent="0.2">
      <c r="A60" s="25" t="s">
        <v>409</v>
      </c>
      <c r="B60" s="26" t="s">
        <v>410</v>
      </c>
      <c r="C60" s="25" t="s">
        <v>299</v>
      </c>
      <c r="D60" s="25"/>
      <c r="E60" s="25"/>
      <c r="F60" s="25"/>
      <c r="G60" s="25"/>
      <c r="H60" s="25"/>
      <c r="I60" s="25" t="s">
        <v>299</v>
      </c>
      <c r="J60" s="25"/>
      <c r="K60" s="25"/>
      <c r="L60" s="25" t="s">
        <v>299</v>
      </c>
      <c r="M60" s="25"/>
      <c r="N60" s="25"/>
      <c r="O60" s="25"/>
      <c r="P60" s="25"/>
      <c r="Q60" s="25"/>
      <c r="R60" s="25"/>
      <c r="S60" s="25"/>
      <c r="T60" s="25" t="s">
        <v>299</v>
      </c>
      <c r="U60" s="25"/>
      <c r="V60" s="25" t="s">
        <v>299</v>
      </c>
      <c r="W60" s="25"/>
      <c r="X60" s="25"/>
      <c r="Y60" s="25"/>
      <c r="Z60" s="25"/>
      <c r="AA60" s="25"/>
      <c r="AB60" s="25"/>
      <c r="AC60" s="22">
        <f t="shared" si="0"/>
        <v>4</v>
      </c>
    </row>
    <row r="61" spans="1:29" x14ac:dyDescent="0.2">
      <c r="A61" s="25" t="s">
        <v>411</v>
      </c>
      <c r="B61" s="26" t="s">
        <v>412</v>
      </c>
      <c r="C61" s="25" t="s">
        <v>299</v>
      </c>
      <c r="D61" s="25"/>
      <c r="E61" s="25"/>
      <c r="F61" s="25"/>
      <c r="G61" s="25"/>
      <c r="H61" s="25"/>
      <c r="I61" s="25"/>
      <c r="J61" s="25"/>
      <c r="K61" s="25"/>
      <c r="L61" s="25" t="s">
        <v>299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2">
        <f t="shared" si="0"/>
        <v>1</v>
      </c>
    </row>
    <row r="62" spans="1:29" x14ac:dyDescent="0.2">
      <c r="A62" s="25" t="s">
        <v>413</v>
      </c>
      <c r="B62" s="26" t="s">
        <v>414</v>
      </c>
      <c r="C62" s="25" t="s">
        <v>299</v>
      </c>
      <c r="D62" s="25"/>
      <c r="E62" s="25"/>
      <c r="F62" s="25"/>
      <c r="G62" s="25"/>
      <c r="H62" s="25"/>
      <c r="I62" s="25"/>
      <c r="J62" s="25"/>
      <c r="K62" s="25"/>
      <c r="L62" s="25" t="s">
        <v>299</v>
      </c>
      <c r="M62" s="25"/>
      <c r="N62" s="25"/>
      <c r="O62" s="25"/>
      <c r="P62" s="25" t="s">
        <v>299</v>
      </c>
      <c r="Q62" s="25"/>
      <c r="R62" s="25"/>
      <c r="S62" s="25"/>
      <c r="T62" s="25" t="s">
        <v>299</v>
      </c>
      <c r="U62" s="25"/>
      <c r="V62" s="25" t="s">
        <v>299</v>
      </c>
      <c r="W62" s="25"/>
      <c r="X62" s="25"/>
      <c r="Y62" s="25"/>
      <c r="Z62" s="25"/>
      <c r="AA62" s="25"/>
      <c r="AB62" s="25"/>
      <c r="AC62" s="22">
        <f t="shared" si="0"/>
        <v>4</v>
      </c>
    </row>
    <row r="63" spans="1:29" x14ac:dyDescent="0.2">
      <c r="A63" s="25" t="s">
        <v>415</v>
      </c>
      <c r="B63" s="26" t="s">
        <v>59</v>
      </c>
      <c r="C63" s="25" t="s">
        <v>299</v>
      </c>
      <c r="D63" s="25"/>
      <c r="E63" s="25"/>
      <c r="F63" s="25"/>
      <c r="G63" s="25"/>
      <c r="H63" s="25"/>
      <c r="I63" s="25" t="s">
        <v>299</v>
      </c>
      <c r="J63" s="25"/>
      <c r="K63" s="25"/>
      <c r="L63" s="25" t="s">
        <v>299</v>
      </c>
      <c r="M63" s="25"/>
      <c r="N63" s="25"/>
      <c r="O63" s="25"/>
      <c r="P63" s="25" t="s">
        <v>299</v>
      </c>
      <c r="Q63" s="25"/>
      <c r="R63" s="25"/>
      <c r="S63" s="25"/>
      <c r="T63" s="25" t="s">
        <v>299</v>
      </c>
      <c r="U63" s="25"/>
      <c r="V63" s="25" t="s">
        <v>299</v>
      </c>
      <c r="W63" s="25"/>
      <c r="X63" s="25"/>
      <c r="Y63" s="25"/>
      <c r="Z63" s="25"/>
      <c r="AA63" s="25"/>
      <c r="AB63" s="25"/>
      <c r="AC63" s="22">
        <f t="shared" si="0"/>
        <v>5</v>
      </c>
    </row>
    <row r="64" spans="1:29" x14ac:dyDescent="0.2">
      <c r="A64" s="25" t="s">
        <v>416</v>
      </c>
      <c r="B64" s="26" t="s">
        <v>417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2">
        <f t="shared" si="0"/>
        <v>0</v>
      </c>
    </row>
    <row r="65" spans="1:29" x14ac:dyDescent="0.2">
      <c r="A65" s="25" t="s">
        <v>418</v>
      </c>
      <c r="B65" s="26" t="s">
        <v>419</v>
      </c>
      <c r="C65" s="25" t="s">
        <v>299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 t="s">
        <v>299</v>
      </c>
      <c r="U65" s="25"/>
      <c r="V65" s="25" t="s">
        <v>299</v>
      </c>
      <c r="W65" s="25"/>
      <c r="X65" s="25"/>
      <c r="Y65" s="25"/>
      <c r="Z65" s="25"/>
      <c r="AA65" s="25"/>
      <c r="AB65" s="25"/>
      <c r="AC65" s="22">
        <f t="shared" si="0"/>
        <v>2</v>
      </c>
    </row>
    <row r="66" spans="1:29" x14ac:dyDescent="0.2">
      <c r="A66" s="25" t="s">
        <v>420</v>
      </c>
      <c r="B66" s="26" t="s">
        <v>421</v>
      </c>
      <c r="C66" s="25" t="s">
        <v>299</v>
      </c>
      <c r="D66" s="25"/>
      <c r="E66" s="25"/>
      <c r="F66" s="25"/>
      <c r="G66" s="25"/>
      <c r="H66" s="25"/>
      <c r="I66" s="25"/>
      <c r="J66" s="25"/>
      <c r="K66" s="25"/>
      <c r="L66" s="25" t="s">
        <v>299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2">
        <f t="shared" si="0"/>
        <v>1</v>
      </c>
    </row>
    <row r="67" spans="1:29" x14ac:dyDescent="0.2">
      <c r="A67" s="25" t="s">
        <v>422</v>
      </c>
      <c r="B67" s="26" t="s">
        <v>423</v>
      </c>
      <c r="C67" s="25" t="s">
        <v>299</v>
      </c>
      <c r="D67" s="25"/>
      <c r="E67" s="25"/>
      <c r="F67" s="25"/>
      <c r="G67" s="25"/>
      <c r="H67" s="25"/>
      <c r="I67" s="25"/>
      <c r="J67" s="25"/>
      <c r="K67" s="25"/>
      <c r="L67" s="25" t="s">
        <v>299</v>
      </c>
      <c r="M67" s="25"/>
      <c r="N67" s="25"/>
      <c r="O67" s="25"/>
      <c r="P67" s="25" t="s">
        <v>299</v>
      </c>
      <c r="Q67" s="25"/>
      <c r="R67" s="25"/>
      <c r="S67" s="25" t="s">
        <v>299</v>
      </c>
      <c r="T67" s="25" t="s">
        <v>299</v>
      </c>
      <c r="U67" s="25"/>
      <c r="V67" s="25" t="s">
        <v>299</v>
      </c>
      <c r="W67" s="25"/>
      <c r="X67" s="25"/>
      <c r="Y67" s="25" t="s">
        <v>299</v>
      </c>
      <c r="Z67" s="25"/>
      <c r="AA67" s="25"/>
      <c r="AB67" s="25"/>
      <c r="AC67" s="22">
        <f t="shared" ref="AC67:AC102" si="1">COUNTIF(D67:AB67, "FP")</f>
        <v>6</v>
      </c>
    </row>
    <row r="68" spans="1:29" x14ac:dyDescent="0.2">
      <c r="A68" s="25" t="s">
        <v>424</v>
      </c>
      <c r="B68" s="26" t="s">
        <v>425</v>
      </c>
      <c r="C68" s="25" t="s">
        <v>299</v>
      </c>
      <c r="D68" s="25"/>
      <c r="E68" s="25"/>
      <c r="F68" s="25"/>
      <c r="G68" s="25"/>
      <c r="H68" s="25"/>
      <c r="I68" s="25"/>
      <c r="J68" s="25"/>
      <c r="K68" s="25"/>
      <c r="L68" s="25" t="s">
        <v>299</v>
      </c>
      <c r="M68" s="25" t="s">
        <v>299</v>
      </c>
      <c r="N68" s="25"/>
      <c r="O68" s="25"/>
      <c r="P68" s="25" t="s">
        <v>299</v>
      </c>
      <c r="Q68" s="25"/>
      <c r="R68" s="25"/>
      <c r="S68" s="25"/>
      <c r="T68" s="25" t="s">
        <v>299</v>
      </c>
      <c r="U68" s="25"/>
      <c r="V68" s="25" t="s">
        <v>299</v>
      </c>
      <c r="W68" s="25"/>
      <c r="X68" s="25"/>
      <c r="Y68" s="25"/>
      <c r="Z68" s="25"/>
      <c r="AA68" s="25"/>
      <c r="AB68" s="25"/>
      <c r="AC68" s="22">
        <f t="shared" si="1"/>
        <v>5</v>
      </c>
    </row>
    <row r="69" spans="1:29" x14ac:dyDescent="0.2">
      <c r="A69" s="25" t="s">
        <v>426</v>
      </c>
      <c r="B69" s="26" t="s">
        <v>303</v>
      </c>
      <c r="C69" s="25" t="s">
        <v>299</v>
      </c>
      <c r="D69" s="25"/>
      <c r="E69" s="25"/>
      <c r="F69" s="25"/>
      <c r="G69" s="25"/>
      <c r="H69" s="25"/>
      <c r="I69" s="25" t="s">
        <v>299</v>
      </c>
      <c r="J69" s="25"/>
      <c r="K69" s="25"/>
      <c r="L69" s="25" t="s">
        <v>299</v>
      </c>
      <c r="M69" s="25"/>
      <c r="N69" s="25" t="s">
        <v>299</v>
      </c>
      <c r="O69" s="25"/>
      <c r="P69" s="25" t="s">
        <v>299</v>
      </c>
      <c r="Q69" s="25"/>
      <c r="R69" s="25"/>
      <c r="S69" s="25" t="s">
        <v>299</v>
      </c>
      <c r="T69" s="25" t="s">
        <v>299</v>
      </c>
      <c r="U69" s="25"/>
      <c r="V69" s="25" t="s">
        <v>299</v>
      </c>
      <c r="W69" s="25"/>
      <c r="X69" s="25"/>
      <c r="Y69" s="25"/>
      <c r="Z69" s="25"/>
      <c r="AA69" s="25" t="s">
        <v>299</v>
      </c>
      <c r="AB69" s="25"/>
      <c r="AC69" s="22">
        <f t="shared" si="1"/>
        <v>8</v>
      </c>
    </row>
    <row r="70" spans="1:29" x14ac:dyDescent="0.2">
      <c r="A70" s="25" t="s">
        <v>427</v>
      </c>
      <c r="B70" s="26" t="s">
        <v>428</v>
      </c>
      <c r="C70" s="25" t="s">
        <v>299</v>
      </c>
      <c r="D70" s="25"/>
      <c r="E70" s="25"/>
      <c r="F70" s="25"/>
      <c r="G70" s="25"/>
      <c r="H70" s="25"/>
      <c r="I70" s="25" t="s">
        <v>299</v>
      </c>
      <c r="J70" s="25"/>
      <c r="K70" s="25"/>
      <c r="L70" s="25" t="s">
        <v>299</v>
      </c>
      <c r="M70" s="25" t="s">
        <v>299</v>
      </c>
      <c r="N70" s="25" t="s">
        <v>299</v>
      </c>
      <c r="O70" s="25" t="s">
        <v>299</v>
      </c>
      <c r="P70" s="25" t="s">
        <v>299</v>
      </c>
      <c r="Q70" s="25" t="s">
        <v>299</v>
      </c>
      <c r="R70" s="25" t="s">
        <v>299</v>
      </c>
      <c r="S70" s="25" t="s">
        <v>299</v>
      </c>
      <c r="T70" s="25" t="s">
        <v>299</v>
      </c>
      <c r="U70" s="25"/>
      <c r="V70" s="25" t="s">
        <v>299</v>
      </c>
      <c r="W70" s="25"/>
      <c r="X70" s="25"/>
      <c r="Y70" s="25"/>
      <c r="Z70" s="25"/>
      <c r="AA70" s="25"/>
      <c r="AB70" s="25"/>
      <c r="AC70" s="22">
        <f t="shared" si="1"/>
        <v>11</v>
      </c>
    </row>
    <row r="71" spans="1:29" x14ac:dyDescent="0.2">
      <c r="A71" s="25" t="s">
        <v>429</v>
      </c>
      <c r="B71" s="26" t="s">
        <v>430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2">
        <f t="shared" si="1"/>
        <v>0</v>
      </c>
    </row>
    <row r="72" spans="1:29" x14ac:dyDescent="0.2">
      <c r="A72" s="25" t="s">
        <v>431</v>
      </c>
      <c r="B72" s="26" t="s">
        <v>432</v>
      </c>
      <c r="C72" s="25" t="s">
        <v>299</v>
      </c>
      <c r="D72" s="25"/>
      <c r="E72" s="25"/>
      <c r="F72" s="25"/>
      <c r="G72" s="25"/>
      <c r="H72" s="25"/>
      <c r="I72" s="25" t="s">
        <v>299</v>
      </c>
      <c r="J72" s="25"/>
      <c r="K72" s="25"/>
      <c r="L72" s="25" t="s">
        <v>299</v>
      </c>
      <c r="M72" s="25" t="s">
        <v>299</v>
      </c>
      <c r="N72" s="25" t="s">
        <v>299</v>
      </c>
      <c r="O72" s="25" t="s">
        <v>299</v>
      </c>
      <c r="P72" s="25" t="s">
        <v>299</v>
      </c>
      <c r="Q72" s="25" t="s">
        <v>299</v>
      </c>
      <c r="R72" s="25" t="s">
        <v>299</v>
      </c>
      <c r="S72" s="25" t="s">
        <v>299</v>
      </c>
      <c r="T72" s="25" t="s">
        <v>299</v>
      </c>
      <c r="U72" s="25"/>
      <c r="V72" s="25" t="s">
        <v>299</v>
      </c>
      <c r="W72" s="25"/>
      <c r="X72" s="25"/>
      <c r="Y72" s="25"/>
      <c r="Z72" s="25"/>
      <c r="AA72" s="25"/>
      <c r="AB72" s="25"/>
      <c r="AC72" s="22">
        <f t="shared" si="1"/>
        <v>11</v>
      </c>
    </row>
    <row r="73" spans="1:29" x14ac:dyDescent="0.2">
      <c r="A73" s="25" t="s">
        <v>433</v>
      </c>
      <c r="B73" s="26" t="s">
        <v>434</v>
      </c>
      <c r="C73" s="25" t="s">
        <v>299</v>
      </c>
      <c r="D73" s="25"/>
      <c r="E73" s="25"/>
      <c r="F73" s="25"/>
      <c r="G73" s="25"/>
      <c r="H73" s="25"/>
      <c r="I73" s="25"/>
      <c r="J73" s="25"/>
      <c r="K73" s="25"/>
      <c r="L73" s="25" t="s">
        <v>299</v>
      </c>
      <c r="M73" s="25"/>
      <c r="N73" s="25" t="s">
        <v>299</v>
      </c>
      <c r="O73" s="25"/>
      <c r="P73" s="25" t="s">
        <v>299</v>
      </c>
      <c r="Q73" s="25"/>
      <c r="R73" s="25"/>
      <c r="S73" s="25"/>
      <c r="T73" s="25" t="s">
        <v>299</v>
      </c>
      <c r="U73" s="25"/>
      <c r="V73" s="25" t="s">
        <v>299</v>
      </c>
      <c r="W73" s="25"/>
      <c r="X73" s="25"/>
      <c r="Y73" s="25"/>
      <c r="Z73" s="25"/>
      <c r="AA73" s="25"/>
      <c r="AB73" s="25"/>
      <c r="AC73" s="22">
        <f t="shared" si="1"/>
        <v>5</v>
      </c>
    </row>
    <row r="74" spans="1:29" x14ac:dyDescent="0.2">
      <c r="A74" s="25" t="s">
        <v>435</v>
      </c>
      <c r="B74" s="26" t="s">
        <v>436</v>
      </c>
      <c r="C74" s="25" t="s">
        <v>299</v>
      </c>
      <c r="D74" s="25"/>
      <c r="E74" s="25"/>
      <c r="F74" s="25"/>
      <c r="G74" s="25"/>
      <c r="H74" s="25"/>
      <c r="I74" s="25"/>
      <c r="J74" s="25"/>
      <c r="K74" s="25"/>
      <c r="L74" s="25" t="s">
        <v>299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2">
        <f t="shared" si="1"/>
        <v>1</v>
      </c>
    </row>
    <row r="75" spans="1:29" x14ac:dyDescent="0.2">
      <c r="A75" s="25" t="s">
        <v>437</v>
      </c>
      <c r="B75" s="26" t="s">
        <v>438</v>
      </c>
      <c r="C75" s="25" t="s">
        <v>299</v>
      </c>
      <c r="D75" s="25"/>
      <c r="E75" s="25"/>
      <c r="F75" s="25"/>
      <c r="G75" s="25"/>
      <c r="H75" s="25"/>
      <c r="I75" s="25"/>
      <c r="J75" s="25"/>
      <c r="K75" s="25"/>
      <c r="L75" s="25" t="s">
        <v>299</v>
      </c>
      <c r="M75" s="25"/>
      <c r="N75" s="25"/>
      <c r="O75" s="25"/>
      <c r="P75" s="25" t="s">
        <v>299</v>
      </c>
      <c r="Q75" s="25"/>
      <c r="R75" s="25"/>
      <c r="S75" s="25"/>
      <c r="T75" s="25" t="s">
        <v>299</v>
      </c>
      <c r="U75" s="25"/>
      <c r="V75" s="25" t="s">
        <v>299</v>
      </c>
      <c r="W75" s="25"/>
      <c r="X75" s="25"/>
      <c r="Y75" s="25"/>
      <c r="Z75" s="25"/>
      <c r="AA75" s="25"/>
      <c r="AB75" s="25"/>
      <c r="AC75" s="22">
        <f t="shared" si="1"/>
        <v>4</v>
      </c>
    </row>
    <row r="76" spans="1:29" x14ac:dyDescent="0.2">
      <c r="A76" s="25" t="s">
        <v>439</v>
      </c>
      <c r="B76" s="26" t="s">
        <v>440</v>
      </c>
      <c r="C76" s="25" t="s">
        <v>299</v>
      </c>
      <c r="D76" s="25"/>
      <c r="E76" s="25"/>
      <c r="F76" s="25"/>
      <c r="G76" s="25"/>
      <c r="H76" s="25"/>
      <c r="I76" s="25"/>
      <c r="J76" s="25"/>
      <c r="K76" s="25"/>
      <c r="L76" s="25" t="s">
        <v>299</v>
      </c>
      <c r="M76" s="25"/>
      <c r="N76" s="25"/>
      <c r="O76" s="25"/>
      <c r="P76" s="25" t="s">
        <v>299</v>
      </c>
      <c r="Q76" s="25" t="s">
        <v>299</v>
      </c>
      <c r="R76" s="25" t="s">
        <v>299</v>
      </c>
      <c r="S76" s="25" t="s">
        <v>299</v>
      </c>
      <c r="T76" s="25" t="s">
        <v>299</v>
      </c>
      <c r="U76" s="25"/>
      <c r="V76" s="25" t="s">
        <v>299</v>
      </c>
      <c r="W76" s="25"/>
      <c r="X76" s="25"/>
      <c r="Y76" s="25"/>
      <c r="Z76" s="25"/>
      <c r="AA76" s="25"/>
      <c r="AB76" s="25"/>
      <c r="AC76" s="22">
        <f t="shared" si="1"/>
        <v>7</v>
      </c>
    </row>
    <row r="77" spans="1:29" x14ac:dyDescent="0.2">
      <c r="A77" s="25" t="s">
        <v>441</v>
      </c>
      <c r="B77" s="26" t="s">
        <v>376</v>
      </c>
      <c r="C77" s="25" t="s">
        <v>299</v>
      </c>
      <c r="D77" s="25"/>
      <c r="E77" s="25"/>
      <c r="F77" s="25"/>
      <c r="G77" s="25"/>
      <c r="H77" s="25"/>
      <c r="I77" s="25"/>
      <c r="J77" s="25"/>
      <c r="K77" s="25"/>
      <c r="L77" s="25" t="s">
        <v>299</v>
      </c>
      <c r="M77" s="25"/>
      <c r="N77" s="25"/>
      <c r="O77" s="25"/>
      <c r="P77" s="25" t="s">
        <v>299</v>
      </c>
      <c r="Q77" s="25"/>
      <c r="R77" s="25"/>
      <c r="S77" s="25" t="s">
        <v>299</v>
      </c>
      <c r="T77" s="25" t="s">
        <v>299</v>
      </c>
      <c r="U77" s="25"/>
      <c r="V77" s="25" t="s">
        <v>299</v>
      </c>
      <c r="W77" s="25"/>
      <c r="X77" s="25"/>
      <c r="Y77" s="25"/>
      <c r="Z77" s="25"/>
      <c r="AA77" s="25" t="s">
        <v>299</v>
      </c>
      <c r="AB77" s="25"/>
      <c r="AC77" s="22">
        <f t="shared" si="1"/>
        <v>6</v>
      </c>
    </row>
    <row r="78" spans="1:29" x14ac:dyDescent="0.2">
      <c r="A78" s="25" t="s">
        <v>442</v>
      </c>
      <c r="B78" s="26" t="s">
        <v>443</v>
      </c>
      <c r="C78" s="25" t="s">
        <v>299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 t="s">
        <v>299</v>
      </c>
      <c r="Q78" s="25"/>
      <c r="R78" s="25"/>
      <c r="S78" s="25" t="s">
        <v>299</v>
      </c>
      <c r="T78" s="25" t="s">
        <v>299</v>
      </c>
      <c r="U78" s="25"/>
      <c r="V78" s="25" t="s">
        <v>299</v>
      </c>
      <c r="W78" s="25"/>
      <c r="X78" s="25"/>
      <c r="Y78" s="25"/>
      <c r="Z78" s="25"/>
      <c r="AA78" s="25"/>
      <c r="AB78" s="25"/>
      <c r="AC78" s="22">
        <f t="shared" si="1"/>
        <v>4</v>
      </c>
    </row>
    <row r="79" spans="1:29" x14ac:dyDescent="0.2">
      <c r="A79" s="25" t="s">
        <v>444</v>
      </c>
      <c r="B79" s="26" t="s">
        <v>445</v>
      </c>
      <c r="C79" s="25" t="s">
        <v>299</v>
      </c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 t="s">
        <v>299</v>
      </c>
      <c r="Q79" s="25"/>
      <c r="R79" s="25"/>
      <c r="S79" s="25" t="s">
        <v>299</v>
      </c>
      <c r="T79" s="25" t="s">
        <v>299</v>
      </c>
      <c r="U79" s="25"/>
      <c r="V79" s="25" t="s">
        <v>299</v>
      </c>
      <c r="W79" s="25"/>
      <c r="X79" s="25"/>
      <c r="Y79" s="25"/>
      <c r="Z79" s="25"/>
      <c r="AA79" s="25"/>
      <c r="AB79" s="25"/>
      <c r="AC79" s="22">
        <f t="shared" si="1"/>
        <v>4</v>
      </c>
    </row>
    <row r="80" spans="1:29" x14ac:dyDescent="0.2">
      <c r="A80" s="25" t="s">
        <v>446</v>
      </c>
      <c r="B80" s="26" t="s">
        <v>447</v>
      </c>
      <c r="C80" s="25" t="s">
        <v>299</v>
      </c>
      <c r="D80" s="25" t="s">
        <v>299</v>
      </c>
      <c r="E80" s="25"/>
      <c r="F80" s="25"/>
      <c r="G80" s="25"/>
      <c r="H80" s="25"/>
      <c r="I80" s="25" t="s">
        <v>299</v>
      </c>
      <c r="J80" s="25"/>
      <c r="K80" s="25"/>
      <c r="L80" s="25" t="s">
        <v>299</v>
      </c>
      <c r="M80" s="25"/>
      <c r="N80" s="25"/>
      <c r="O80" s="25" t="s">
        <v>299</v>
      </c>
      <c r="P80" s="25" t="s">
        <v>299</v>
      </c>
      <c r="Q80" s="25"/>
      <c r="R80" s="25"/>
      <c r="S80" s="25" t="s">
        <v>299</v>
      </c>
      <c r="T80" s="25" t="s">
        <v>299</v>
      </c>
      <c r="U80" s="25"/>
      <c r="V80" s="25" t="s">
        <v>299</v>
      </c>
      <c r="W80" s="25"/>
      <c r="X80" s="25"/>
      <c r="Y80" s="25"/>
      <c r="Z80" s="25"/>
      <c r="AA80" s="25"/>
      <c r="AB80" s="25"/>
      <c r="AC80" s="22">
        <f t="shared" si="1"/>
        <v>8</v>
      </c>
    </row>
    <row r="81" spans="1:29" x14ac:dyDescent="0.2">
      <c r="A81" s="25" t="s">
        <v>448</v>
      </c>
      <c r="B81" s="26" t="s">
        <v>449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2">
        <f t="shared" si="1"/>
        <v>0</v>
      </c>
    </row>
    <row r="82" spans="1:29" x14ac:dyDescent="0.2">
      <c r="A82" s="25" t="s">
        <v>450</v>
      </c>
      <c r="B82" s="26" t="s">
        <v>451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2">
        <f t="shared" si="1"/>
        <v>0</v>
      </c>
    </row>
    <row r="83" spans="1:29" x14ac:dyDescent="0.2">
      <c r="A83" s="25" t="s">
        <v>452</v>
      </c>
      <c r="B83" s="26" t="s">
        <v>453</v>
      </c>
      <c r="C83" s="25" t="s">
        <v>299</v>
      </c>
      <c r="D83" s="25"/>
      <c r="E83" s="25"/>
      <c r="F83" s="25"/>
      <c r="G83" s="25"/>
      <c r="H83" s="25"/>
      <c r="I83" s="25"/>
      <c r="J83" s="25"/>
      <c r="K83" s="25"/>
      <c r="L83" s="25" t="s">
        <v>299</v>
      </c>
      <c r="M83" s="25"/>
      <c r="N83" s="25"/>
      <c r="O83" s="25"/>
      <c r="P83" s="25" t="s">
        <v>299</v>
      </c>
      <c r="Q83" s="25"/>
      <c r="R83" s="25"/>
      <c r="S83" s="25"/>
      <c r="T83" s="25" t="s">
        <v>299</v>
      </c>
      <c r="U83" s="25"/>
      <c r="V83" s="25" t="s">
        <v>299</v>
      </c>
      <c r="W83" s="25"/>
      <c r="X83" s="25"/>
      <c r="Y83" s="25"/>
      <c r="Z83" s="25"/>
      <c r="AA83" s="25"/>
      <c r="AB83" s="25"/>
      <c r="AC83" s="22">
        <f t="shared" si="1"/>
        <v>4</v>
      </c>
    </row>
    <row r="84" spans="1:29" x14ac:dyDescent="0.2">
      <c r="A84" s="25" t="s">
        <v>454</v>
      </c>
      <c r="B84" s="26" t="s">
        <v>455</v>
      </c>
      <c r="C84" s="25" t="s">
        <v>299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 t="s">
        <v>299</v>
      </c>
      <c r="Q84" s="25"/>
      <c r="R84" s="25"/>
      <c r="S84" s="25" t="s">
        <v>299</v>
      </c>
      <c r="T84" s="25" t="s">
        <v>299</v>
      </c>
      <c r="U84" s="25"/>
      <c r="V84" s="25" t="s">
        <v>299</v>
      </c>
      <c r="W84" s="25"/>
      <c r="X84" s="25"/>
      <c r="Y84" s="25"/>
      <c r="Z84" s="25"/>
      <c r="AA84" s="25"/>
      <c r="AB84" s="25"/>
      <c r="AC84" s="22">
        <f t="shared" si="1"/>
        <v>4</v>
      </c>
    </row>
    <row r="85" spans="1:29" x14ac:dyDescent="0.2">
      <c r="A85" s="25" t="s">
        <v>456</v>
      </c>
      <c r="B85" s="26" t="s">
        <v>457</v>
      </c>
      <c r="C85" s="25" t="s">
        <v>299</v>
      </c>
      <c r="D85" s="25"/>
      <c r="E85" s="25"/>
      <c r="F85" s="25"/>
      <c r="G85" s="25"/>
      <c r="H85" s="25"/>
      <c r="I85" s="25"/>
      <c r="J85" s="25"/>
      <c r="K85" s="25"/>
      <c r="L85" s="25" t="s">
        <v>299</v>
      </c>
      <c r="M85" s="25"/>
      <c r="N85" s="25"/>
      <c r="O85" s="25"/>
      <c r="P85" s="25" t="s">
        <v>299</v>
      </c>
      <c r="Q85" s="25"/>
      <c r="R85" s="25"/>
      <c r="S85" s="25"/>
      <c r="T85" s="25" t="s">
        <v>299</v>
      </c>
      <c r="U85" s="25"/>
      <c r="V85" s="25" t="s">
        <v>299</v>
      </c>
      <c r="W85" s="25"/>
      <c r="X85" s="25"/>
      <c r="Y85" s="25"/>
      <c r="Z85" s="25"/>
      <c r="AA85" s="25"/>
      <c r="AB85" s="25"/>
      <c r="AC85" s="22">
        <f t="shared" si="1"/>
        <v>4</v>
      </c>
    </row>
    <row r="86" spans="1:29" x14ac:dyDescent="0.2">
      <c r="A86" s="25" t="s">
        <v>458</v>
      </c>
      <c r="B86" s="26" t="s">
        <v>459</v>
      </c>
      <c r="C86" s="25" t="s">
        <v>299</v>
      </c>
      <c r="D86" s="25"/>
      <c r="E86" s="25"/>
      <c r="F86" s="25"/>
      <c r="G86" s="25"/>
      <c r="H86" s="25"/>
      <c r="I86" s="25"/>
      <c r="J86" s="25"/>
      <c r="K86" s="25"/>
      <c r="L86" s="25" t="s">
        <v>299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2">
        <f t="shared" si="1"/>
        <v>1</v>
      </c>
    </row>
    <row r="87" spans="1:29" x14ac:dyDescent="0.2">
      <c r="A87" s="25" t="s">
        <v>460</v>
      </c>
      <c r="B87" s="26" t="s">
        <v>461</v>
      </c>
      <c r="C87" s="25" t="s">
        <v>299</v>
      </c>
      <c r="D87" s="25"/>
      <c r="E87" s="25"/>
      <c r="F87" s="25"/>
      <c r="G87" s="25"/>
      <c r="H87" s="25"/>
      <c r="I87" s="25"/>
      <c r="J87" s="25"/>
      <c r="K87" s="25"/>
      <c r="L87" s="25" t="s">
        <v>299</v>
      </c>
      <c r="M87" s="25"/>
      <c r="N87" s="25"/>
      <c r="O87" s="25"/>
      <c r="P87" s="25" t="s">
        <v>299</v>
      </c>
      <c r="Q87" s="25"/>
      <c r="R87" s="25"/>
      <c r="S87" s="25"/>
      <c r="T87" s="25" t="s">
        <v>299</v>
      </c>
      <c r="U87" s="25"/>
      <c r="V87" s="25" t="s">
        <v>299</v>
      </c>
      <c r="W87" s="25"/>
      <c r="X87" s="25"/>
      <c r="Y87" s="25"/>
      <c r="Z87" s="25"/>
      <c r="AA87" s="25"/>
      <c r="AB87" s="25"/>
      <c r="AC87" s="22">
        <f t="shared" si="1"/>
        <v>4</v>
      </c>
    </row>
    <row r="88" spans="1:29" x14ac:dyDescent="0.2">
      <c r="A88" s="25" t="s">
        <v>462</v>
      </c>
      <c r="B88" s="26" t="s">
        <v>463</v>
      </c>
      <c r="C88" s="25" t="s">
        <v>299</v>
      </c>
      <c r="D88" s="25"/>
      <c r="E88" s="25"/>
      <c r="F88" s="25"/>
      <c r="G88" s="25"/>
      <c r="H88" s="25"/>
      <c r="I88" s="25" t="s">
        <v>299</v>
      </c>
      <c r="J88" s="25" t="s">
        <v>299</v>
      </c>
      <c r="K88" s="25" t="s">
        <v>299</v>
      </c>
      <c r="L88" s="25" t="s">
        <v>299</v>
      </c>
      <c r="M88" s="25"/>
      <c r="N88" s="25"/>
      <c r="O88" s="25"/>
      <c r="P88" s="25" t="s">
        <v>299</v>
      </c>
      <c r="Q88" s="25"/>
      <c r="R88" s="25"/>
      <c r="S88" s="25"/>
      <c r="T88" s="25" t="s">
        <v>299</v>
      </c>
      <c r="U88" s="25"/>
      <c r="V88" s="25" t="s">
        <v>299</v>
      </c>
      <c r="W88" s="25"/>
      <c r="X88" s="25"/>
      <c r="Y88" s="25"/>
      <c r="Z88" s="25"/>
      <c r="AA88" s="25" t="s">
        <v>299</v>
      </c>
      <c r="AB88" s="25" t="s">
        <v>299</v>
      </c>
      <c r="AC88" s="22">
        <f t="shared" si="1"/>
        <v>9</v>
      </c>
    </row>
    <row r="89" spans="1:29" x14ac:dyDescent="0.2">
      <c r="A89" s="25" t="s">
        <v>464</v>
      </c>
      <c r="B89" s="26" t="s">
        <v>465</v>
      </c>
      <c r="C89" s="25" t="s">
        <v>299</v>
      </c>
      <c r="D89" s="25"/>
      <c r="E89" s="25"/>
      <c r="F89" s="25"/>
      <c r="G89" s="25"/>
      <c r="H89" s="25"/>
      <c r="I89" s="25" t="s">
        <v>299</v>
      </c>
      <c r="J89" s="25"/>
      <c r="K89" s="25"/>
      <c r="L89" s="25" t="s">
        <v>299</v>
      </c>
      <c r="M89" s="25" t="s">
        <v>299</v>
      </c>
      <c r="N89" s="25" t="s">
        <v>299</v>
      </c>
      <c r="O89" s="25" t="s">
        <v>299</v>
      </c>
      <c r="P89" s="25" t="s">
        <v>299</v>
      </c>
      <c r="Q89" s="25" t="s">
        <v>299</v>
      </c>
      <c r="R89" s="25" t="s">
        <v>299</v>
      </c>
      <c r="S89" s="25" t="s">
        <v>299</v>
      </c>
      <c r="T89" s="25" t="s">
        <v>299</v>
      </c>
      <c r="U89" s="25"/>
      <c r="V89" s="25" t="s">
        <v>299</v>
      </c>
      <c r="W89" s="25" t="s">
        <v>299</v>
      </c>
      <c r="X89" s="25"/>
      <c r="Y89" s="25"/>
      <c r="Z89" s="25"/>
      <c r="AA89" s="25"/>
      <c r="AB89" s="25"/>
      <c r="AC89" s="22">
        <f t="shared" si="1"/>
        <v>12</v>
      </c>
    </row>
    <row r="90" spans="1:29" x14ac:dyDescent="0.2">
      <c r="A90" s="25" t="s">
        <v>466</v>
      </c>
      <c r="B90" s="26" t="s">
        <v>467</v>
      </c>
      <c r="C90" s="25" t="s">
        <v>299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 t="s">
        <v>299</v>
      </c>
      <c r="Q90" s="25"/>
      <c r="R90" s="25"/>
      <c r="S90" s="25" t="s">
        <v>299</v>
      </c>
      <c r="T90" s="25" t="s">
        <v>299</v>
      </c>
      <c r="U90" s="25"/>
      <c r="V90" s="25" t="s">
        <v>299</v>
      </c>
      <c r="W90" s="25"/>
      <c r="X90" s="25"/>
      <c r="Y90" s="25"/>
      <c r="Z90" s="25"/>
      <c r="AA90" s="25"/>
      <c r="AB90" s="25"/>
      <c r="AC90" s="22">
        <f t="shared" si="1"/>
        <v>4</v>
      </c>
    </row>
    <row r="91" spans="1:29" x14ac:dyDescent="0.2">
      <c r="A91" s="25" t="s">
        <v>468</v>
      </c>
      <c r="B91" s="26" t="s">
        <v>315</v>
      </c>
      <c r="C91" s="25" t="s">
        <v>299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 t="s">
        <v>299</v>
      </c>
      <c r="O91" s="25"/>
      <c r="P91" s="25" t="s">
        <v>299</v>
      </c>
      <c r="Q91" s="25"/>
      <c r="R91" s="25"/>
      <c r="S91" s="25" t="s">
        <v>299</v>
      </c>
      <c r="T91" s="25" t="s">
        <v>299</v>
      </c>
      <c r="U91" s="25"/>
      <c r="V91" s="25" t="s">
        <v>299</v>
      </c>
      <c r="W91" s="25"/>
      <c r="X91" s="25"/>
      <c r="Y91" s="25" t="s">
        <v>299</v>
      </c>
      <c r="Z91" s="25" t="s">
        <v>299</v>
      </c>
      <c r="AA91" s="25"/>
      <c r="AB91" s="25"/>
      <c r="AC91" s="22">
        <f t="shared" si="1"/>
        <v>7</v>
      </c>
    </row>
    <row r="92" spans="1:29" x14ac:dyDescent="0.2">
      <c r="A92" s="25" t="s">
        <v>469</v>
      </c>
      <c r="B92" s="26" t="s">
        <v>470</v>
      </c>
      <c r="C92" s="25" t="s">
        <v>299</v>
      </c>
      <c r="D92" s="25"/>
      <c r="E92" s="25"/>
      <c r="F92" s="25"/>
      <c r="G92" s="25"/>
      <c r="H92" s="25"/>
      <c r="I92" s="25" t="s">
        <v>299</v>
      </c>
      <c r="J92" s="25"/>
      <c r="K92" s="25"/>
      <c r="L92" s="25" t="s">
        <v>299</v>
      </c>
      <c r="M92" s="25" t="s">
        <v>299</v>
      </c>
      <c r="N92" s="25" t="s">
        <v>299</v>
      </c>
      <c r="O92" s="25" t="s">
        <v>299</v>
      </c>
      <c r="P92" s="25" t="s">
        <v>299</v>
      </c>
      <c r="Q92" s="25" t="s">
        <v>299</v>
      </c>
      <c r="R92" s="25" t="s">
        <v>299</v>
      </c>
      <c r="S92" s="25" t="s">
        <v>299</v>
      </c>
      <c r="T92" s="25" t="s">
        <v>299</v>
      </c>
      <c r="U92" s="25"/>
      <c r="V92" s="25" t="s">
        <v>299</v>
      </c>
      <c r="W92" s="25"/>
      <c r="X92" s="25"/>
      <c r="Y92" s="25"/>
      <c r="Z92" s="25"/>
      <c r="AA92" s="25"/>
      <c r="AB92" s="25"/>
      <c r="AC92" s="22">
        <f t="shared" si="1"/>
        <v>11</v>
      </c>
    </row>
    <row r="93" spans="1:29" x14ac:dyDescent="0.2">
      <c r="A93" s="25" t="s">
        <v>471</v>
      </c>
      <c r="B93" s="26" t="s">
        <v>472</v>
      </c>
      <c r="C93" s="25" t="s">
        <v>299</v>
      </c>
      <c r="D93" s="25" t="s">
        <v>299</v>
      </c>
      <c r="E93" s="25" t="s">
        <v>299</v>
      </c>
      <c r="F93" s="25" t="s">
        <v>299</v>
      </c>
      <c r="G93" s="25" t="s">
        <v>299</v>
      </c>
      <c r="H93" s="25" t="s">
        <v>299</v>
      </c>
      <c r="I93" s="25" t="s">
        <v>299</v>
      </c>
      <c r="J93" s="25" t="s">
        <v>299</v>
      </c>
      <c r="K93" s="25" t="s">
        <v>299</v>
      </c>
      <c r="L93" s="25" t="s">
        <v>299</v>
      </c>
      <c r="M93" s="25" t="s">
        <v>299</v>
      </c>
      <c r="N93" s="25" t="s">
        <v>299</v>
      </c>
      <c r="O93" s="25"/>
      <c r="P93" s="25" t="s">
        <v>299</v>
      </c>
      <c r="Q93" s="25" t="s">
        <v>299</v>
      </c>
      <c r="R93" s="25" t="s">
        <v>299</v>
      </c>
      <c r="S93" s="25" t="s">
        <v>299</v>
      </c>
      <c r="T93" s="25" t="s">
        <v>299</v>
      </c>
      <c r="U93" s="25" t="s">
        <v>299</v>
      </c>
      <c r="V93" s="25" t="s">
        <v>299</v>
      </c>
      <c r="W93" s="25"/>
      <c r="X93" s="25" t="s">
        <v>299</v>
      </c>
      <c r="Y93" s="25"/>
      <c r="Z93" s="25"/>
      <c r="AA93" s="25" t="s">
        <v>299</v>
      </c>
      <c r="AB93" s="25"/>
      <c r="AC93" s="22">
        <f t="shared" si="1"/>
        <v>20</v>
      </c>
    </row>
    <row r="94" spans="1:29" x14ac:dyDescent="0.2">
      <c r="A94" s="25" t="s">
        <v>473</v>
      </c>
      <c r="B94" s="26" t="s">
        <v>474</v>
      </c>
      <c r="C94" s="25" t="s">
        <v>299</v>
      </c>
      <c r="D94" s="25"/>
      <c r="E94" s="25"/>
      <c r="F94" s="25"/>
      <c r="G94" s="25"/>
      <c r="H94" s="25"/>
      <c r="I94" s="25" t="s">
        <v>299</v>
      </c>
      <c r="J94" s="25"/>
      <c r="K94" s="25"/>
      <c r="L94" s="25" t="s">
        <v>299</v>
      </c>
      <c r="M94" s="25" t="s">
        <v>299</v>
      </c>
      <c r="N94" s="25" t="s">
        <v>299</v>
      </c>
      <c r="O94" s="25" t="s">
        <v>299</v>
      </c>
      <c r="P94" s="25" t="s">
        <v>299</v>
      </c>
      <c r="Q94" s="25" t="s">
        <v>299</v>
      </c>
      <c r="R94" s="25" t="s">
        <v>299</v>
      </c>
      <c r="S94" s="25" t="s">
        <v>299</v>
      </c>
      <c r="T94" s="25" t="s">
        <v>299</v>
      </c>
      <c r="U94" s="25"/>
      <c r="V94" s="25" t="s">
        <v>299</v>
      </c>
      <c r="W94" s="25"/>
      <c r="X94" s="25"/>
      <c r="Y94" s="25"/>
      <c r="Z94" s="25"/>
      <c r="AA94" s="25"/>
      <c r="AB94" s="25"/>
      <c r="AC94" s="22">
        <f t="shared" si="1"/>
        <v>11</v>
      </c>
    </row>
    <row r="95" spans="1:29" x14ac:dyDescent="0.2">
      <c r="A95" s="25" t="s">
        <v>475</v>
      </c>
      <c r="B95" s="26" t="s">
        <v>476</v>
      </c>
      <c r="C95" s="25" t="s">
        <v>299</v>
      </c>
      <c r="D95" s="25"/>
      <c r="E95" s="25"/>
      <c r="F95" s="25"/>
      <c r="G95" s="25"/>
      <c r="H95" s="25"/>
      <c r="I95" s="25"/>
      <c r="J95" s="25"/>
      <c r="K95" s="25"/>
      <c r="L95" s="25" t="s">
        <v>299</v>
      </c>
      <c r="M95" s="25"/>
      <c r="N95" s="25"/>
      <c r="O95" s="25"/>
      <c r="P95" s="25" t="s">
        <v>299</v>
      </c>
      <c r="Q95" s="25"/>
      <c r="R95" s="25"/>
      <c r="S95" s="25" t="s">
        <v>299</v>
      </c>
      <c r="T95" s="25" t="s">
        <v>299</v>
      </c>
      <c r="U95" s="25"/>
      <c r="V95" s="25" t="s">
        <v>299</v>
      </c>
      <c r="W95" s="25"/>
      <c r="X95" s="25"/>
      <c r="Y95" s="25"/>
      <c r="Z95" s="25"/>
      <c r="AA95" s="25"/>
      <c r="AB95" s="25"/>
      <c r="AC95" s="22">
        <f t="shared" si="1"/>
        <v>5</v>
      </c>
    </row>
    <row r="96" spans="1:29" x14ac:dyDescent="0.2">
      <c r="A96" s="25" t="s">
        <v>477</v>
      </c>
      <c r="B96" s="26" t="s">
        <v>478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2">
        <f t="shared" si="1"/>
        <v>0</v>
      </c>
    </row>
    <row r="97" spans="1:29" x14ac:dyDescent="0.2">
      <c r="A97" s="25" t="s">
        <v>479</v>
      </c>
      <c r="B97" s="26" t="s">
        <v>480</v>
      </c>
      <c r="C97" s="25" t="s">
        <v>299</v>
      </c>
      <c r="D97" s="25"/>
      <c r="E97" s="25"/>
      <c r="F97" s="25" t="s">
        <v>299</v>
      </c>
      <c r="G97" s="25"/>
      <c r="H97" s="25"/>
      <c r="I97" s="25" t="s">
        <v>299</v>
      </c>
      <c r="J97" s="25"/>
      <c r="K97" s="25"/>
      <c r="L97" s="25" t="s">
        <v>299</v>
      </c>
      <c r="M97" s="25"/>
      <c r="N97" s="25"/>
      <c r="O97" s="25"/>
      <c r="P97" s="25" t="s">
        <v>299</v>
      </c>
      <c r="Q97" s="25" t="s">
        <v>299</v>
      </c>
      <c r="R97" s="25" t="s">
        <v>299</v>
      </c>
      <c r="S97" s="25" t="s">
        <v>299</v>
      </c>
      <c r="T97" s="25" t="s">
        <v>299</v>
      </c>
      <c r="U97" s="25"/>
      <c r="V97" s="25" t="s">
        <v>299</v>
      </c>
      <c r="W97" s="25" t="s">
        <v>299</v>
      </c>
      <c r="X97" s="25"/>
      <c r="Y97" s="25"/>
      <c r="Z97" s="25"/>
      <c r="AA97" s="25"/>
      <c r="AB97" s="25"/>
      <c r="AC97" s="22">
        <f t="shared" si="1"/>
        <v>10</v>
      </c>
    </row>
    <row r="98" spans="1:29" x14ac:dyDescent="0.2">
      <c r="A98" s="25" t="s">
        <v>481</v>
      </c>
      <c r="B98" s="26" t="s">
        <v>482</v>
      </c>
      <c r="C98" s="25" t="s">
        <v>299</v>
      </c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 t="s">
        <v>299</v>
      </c>
      <c r="Q98" s="25"/>
      <c r="R98" s="25"/>
      <c r="S98" s="25"/>
      <c r="T98" s="25" t="s">
        <v>299</v>
      </c>
      <c r="U98" s="25"/>
      <c r="V98" s="25" t="s">
        <v>299</v>
      </c>
      <c r="W98" s="25"/>
      <c r="X98" s="25"/>
      <c r="Y98" s="25"/>
      <c r="Z98" s="25"/>
      <c r="AA98" s="25"/>
      <c r="AB98" s="25"/>
      <c r="AC98" s="22">
        <f t="shared" si="1"/>
        <v>3</v>
      </c>
    </row>
    <row r="99" spans="1:29" x14ac:dyDescent="0.2">
      <c r="A99" s="25" t="s">
        <v>483</v>
      </c>
      <c r="B99" s="26" t="s">
        <v>484</v>
      </c>
      <c r="C99" s="25" t="s">
        <v>299</v>
      </c>
      <c r="D99" s="25"/>
      <c r="E99" s="25"/>
      <c r="F99" s="25"/>
      <c r="G99" s="25"/>
      <c r="H99" s="25"/>
      <c r="I99" s="25" t="s">
        <v>299</v>
      </c>
      <c r="J99" s="25"/>
      <c r="K99" s="25"/>
      <c r="L99" s="25" t="s">
        <v>299</v>
      </c>
      <c r="M99" s="25"/>
      <c r="N99" s="25"/>
      <c r="O99" s="25"/>
      <c r="P99" s="25" t="s">
        <v>299</v>
      </c>
      <c r="Q99" s="25"/>
      <c r="R99" s="25"/>
      <c r="S99" s="25"/>
      <c r="T99" s="25" t="s">
        <v>299</v>
      </c>
      <c r="U99" s="25"/>
      <c r="V99" s="25" t="s">
        <v>299</v>
      </c>
      <c r="W99" s="25"/>
      <c r="X99" s="25"/>
      <c r="Y99" s="25"/>
      <c r="Z99" s="25"/>
      <c r="AA99" s="25"/>
      <c r="AB99" s="25"/>
      <c r="AC99" s="22">
        <f t="shared" si="1"/>
        <v>5</v>
      </c>
    </row>
    <row r="100" spans="1:29" x14ac:dyDescent="0.2">
      <c r="A100" s="25" t="s">
        <v>485</v>
      </c>
      <c r="B100" s="26" t="s">
        <v>96</v>
      </c>
      <c r="C100" s="25" t="s">
        <v>299</v>
      </c>
      <c r="D100" s="25"/>
      <c r="E100" s="25"/>
      <c r="F100" s="25"/>
      <c r="G100" s="25"/>
      <c r="H100" s="25"/>
      <c r="I100" s="25"/>
      <c r="J100" s="25"/>
      <c r="K100" s="25"/>
      <c r="L100" s="25" t="s">
        <v>299</v>
      </c>
      <c r="M100" s="25"/>
      <c r="N100" s="25"/>
      <c r="O100" s="25"/>
      <c r="P100" s="25" t="s">
        <v>299</v>
      </c>
      <c r="Q100" s="25" t="s">
        <v>299</v>
      </c>
      <c r="R100" s="25" t="s">
        <v>299</v>
      </c>
      <c r="S100" s="25" t="s">
        <v>299</v>
      </c>
      <c r="T100" s="25" t="s">
        <v>299</v>
      </c>
      <c r="U100" s="25"/>
      <c r="V100" s="25" t="s">
        <v>299</v>
      </c>
      <c r="W100" s="25"/>
      <c r="X100" s="25"/>
      <c r="Y100" s="25"/>
      <c r="Z100" s="25"/>
      <c r="AA100" s="25"/>
      <c r="AB100" s="25"/>
      <c r="AC100" s="22">
        <f t="shared" si="1"/>
        <v>7</v>
      </c>
    </row>
    <row r="101" spans="1:29" x14ac:dyDescent="0.2">
      <c r="A101" s="25" t="s">
        <v>486</v>
      </c>
      <c r="B101" s="26" t="s">
        <v>487</v>
      </c>
      <c r="C101" s="25" t="s">
        <v>299</v>
      </c>
      <c r="D101" s="25"/>
      <c r="E101" s="25"/>
      <c r="F101" s="25"/>
      <c r="G101" s="25"/>
      <c r="H101" s="25"/>
      <c r="I101" s="25" t="s">
        <v>299</v>
      </c>
      <c r="J101" s="25"/>
      <c r="K101" s="25"/>
      <c r="L101" s="25" t="s">
        <v>299</v>
      </c>
      <c r="M101" s="25"/>
      <c r="N101" s="25"/>
      <c r="O101" s="25"/>
      <c r="P101" s="25" t="s">
        <v>299</v>
      </c>
      <c r="Q101" s="25"/>
      <c r="R101" s="25"/>
      <c r="S101" s="25" t="s">
        <v>299</v>
      </c>
      <c r="T101" s="25" t="s">
        <v>299</v>
      </c>
      <c r="U101" s="25"/>
      <c r="V101" s="25" t="s">
        <v>299</v>
      </c>
      <c r="W101" s="25" t="s">
        <v>299</v>
      </c>
      <c r="X101" s="25"/>
      <c r="Y101" s="25"/>
      <c r="Z101" s="25"/>
      <c r="AA101" s="25"/>
      <c r="AB101" s="25"/>
      <c r="AC101" s="22">
        <f t="shared" si="1"/>
        <v>7</v>
      </c>
    </row>
    <row r="102" spans="1:29" x14ac:dyDescent="0.2">
      <c r="A102" s="25" t="s">
        <v>488</v>
      </c>
      <c r="B102" s="26" t="s">
        <v>489</v>
      </c>
      <c r="C102" s="25" t="s">
        <v>299</v>
      </c>
      <c r="D102" s="25"/>
      <c r="E102" s="25"/>
      <c r="F102" s="25"/>
      <c r="G102" s="25"/>
      <c r="H102" s="25"/>
      <c r="I102" s="25"/>
      <c r="J102" s="25"/>
      <c r="K102" s="25"/>
      <c r="L102" s="25" t="s">
        <v>299</v>
      </c>
      <c r="M102" s="25"/>
      <c r="N102" s="25"/>
      <c r="O102" s="25"/>
      <c r="P102" s="25" t="s">
        <v>299</v>
      </c>
      <c r="Q102" s="25" t="s">
        <v>299</v>
      </c>
      <c r="R102" s="25" t="s">
        <v>299</v>
      </c>
      <c r="S102" s="25" t="s">
        <v>299</v>
      </c>
      <c r="T102" s="25" t="s">
        <v>299</v>
      </c>
      <c r="U102" s="25"/>
      <c r="V102" s="25" t="s">
        <v>299</v>
      </c>
      <c r="W102" s="25" t="s">
        <v>299</v>
      </c>
      <c r="X102" s="25"/>
      <c r="Y102" s="25"/>
      <c r="Z102" s="25"/>
      <c r="AA102" s="25"/>
      <c r="AB102" s="25"/>
      <c r="AC102" s="22">
        <f t="shared" si="1"/>
        <v>8</v>
      </c>
    </row>
    <row r="103" spans="1:29" x14ac:dyDescent="0.2">
      <c r="D103" s="22">
        <f>COUNTIF(D3:D102, "FP")</f>
        <v>6</v>
      </c>
      <c r="E103" s="22">
        <f t="shared" ref="E103:AB103" si="2">COUNTIF(E3:E102, "FP")</f>
        <v>5</v>
      </c>
      <c r="F103" s="22">
        <f t="shared" si="2"/>
        <v>6</v>
      </c>
      <c r="G103" s="22">
        <f t="shared" si="2"/>
        <v>5</v>
      </c>
      <c r="H103" s="22">
        <f t="shared" si="2"/>
        <v>5</v>
      </c>
      <c r="I103" s="22">
        <f t="shared" si="2"/>
        <v>36</v>
      </c>
      <c r="J103" s="22">
        <f t="shared" si="2"/>
        <v>6</v>
      </c>
      <c r="K103" s="22">
        <f t="shared" si="2"/>
        <v>7</v>
      </c>
      <c r="L103" s="22">
        <f t="shared" si="2"/>
        <v>67</v>
      </c>
      <c r="M103" s="22">
        <f t="shared" si="2"/>
        <v>13</v>
      </c>
      <c r="N103" s="22">
        <f t="shared" si="2"/>
        <v>19</v>
      </c>
      <c r="O103" s="22">
        <f t="shared" si="2"/>
        <v>14</v>
      </c>
      <c r="P103" s="22">
        <f t="shared" si="2"/>
        <v>67</v>
      </c>
      <c r="Q103" s="22">
        <f t="shared" si="2"/>
        <v>28</v>
      </c>
      <c r="R103" s="22">
        <f t="shared" si="2"/>
        <v>28</v>
      </c>
      <c r="S103" s="22">
        <f t="shared" si="2"/>
        <v>50</v>
      </c>
      <c r="T103" s="22">
        <f t="shared" si="2"/>
        <v>74</v>
      </c>
      <c r="U103" s="22">
        <f t="shared" si="2"/>
        <v>11</v>
      </c>
      <c r="V103" s="22">
        <f t="shared" si="2"/>
        <v>74</v>
      </c>
      <c r="W103" s="22">
        <f t="shared" si="2"/>
        <v>14</v>
      </c>
      <c r="X103" s="22">
        <f t="shared" si="2"/>
        <v>7</v>
      </c>
      <c r="Y103" s="22">
        <f t="shared" si="2"/>
        <v>5</v>
      </c>
      <c r="Z103" s="22">
        <f t="shared" si="2"/>
        <v>3</v>
      </c>
      <c r="AA103" s="22">
        <f t="shared" si="2"/>
        <v>12</v>
      </c>
      <c r="AB103" s="22">
        <f t="shared" si="2"/>
        <v>1</v>
      </c>
      <c r="AC103" s="22">
        <f>SUM(AC3:AC102)/100</f>
        <v>5.63</v>
      </c>
    </row>
    <row r="104" spans="1:29" x14ac:dyDescent="0.2">
      <c r="AC104" s="22">
        <f>SUM(D103:AB103)/25</f>
        <v>22.52</v>
      </c>
    </row>
  </sheetData>
  <mergeCells count="4">
    <mergeCell ref="D1:L1"/>
    <mergeCell ref="N1:O1"/>
    <mergeCell ref="Q1:V1"/>
    <mergeCell ref="Y1: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D9B2-D277-1943-B632-64A8E9713F24}">
  <dimension ref="A1:R101"/>
  <sheetViews>
    <sheetView workbookViewId="0">
      <pane xSplit="3" ySplit="1" topLeftCell="J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style="22" customWidth="1"/>
    <col min="2" max="2" width="28" style="22" customWidth="1"/>
    <col min="3" max="3" width="16" style="22" customWidth="1"/>
    <col min="4" max="18" width="18" style="22" customWidth="1"/>
    <col min="19" max="16384" width="8.83203125" style="22"/>
  </cols>
  <sheetData>
    <row r="1" spans="1:18" x14ac:dyDescent="0.2">
      <c r="A1" s="20" t="s">
        <v>294</v>
      </c>
      <c r="B1" s="20" t="s">
        <v>295</v>
      </c>
      <c r="C1" s="20" t="s">
        <v>296</v>
      </c>
      <c r="D1" s="20" t="s">
        <v>138</v>
      </c>
      <c r="E1" s="20" t="s">
        <v>139</v>
      </c>
      <c r="F1" s="20" t="s">
        <v>140</v>
      </c>
      <c r="G1" s="20" t="s">
        <v>141</v>
      </c>
      <c r="H1" s="20" t="s">
        <v>142</v>
      </c>
      <c r="I1" s="20" t="s">
        <v>143</v>
      </c>
      <c r="J1" s="20" t="s">
        <v>144</v>
      </c>
      <c r="K1" s="20" t="s">
        <v>145</v>
      </c>
      <c r="L1" s="20" t="s">
        <v>146</v>
      </c>
      <c r="M1" s="20" t="s">
        <v>147</v>
      </c>
      <c r="N1" s="20" t="s">
        <v>148</v>
      </c>
      <c r="O1" s="20" t="s">
        <v>149</v>
      </c>
      <c r="P1" s="20" t="s">
        <v>150</v>
      </c>
      <c r="Q1" s="20" t="s">
        <v>151</v>
      </c>
      <c r="R1" s="20" t="s">
        <v>152</v>
      </c>
    </row>
    <row r="2" spans="1:18" x14ac:dyDescent="0.2">
      <c r="A2" s="25" t="s">
        <v>297</v>
      </c>
      <c r="B2" s="26" t="s">
        <v>298</v>
      </c>
      <c r="C2" s="25" t="s">
        <v>299</v>
      </c>
      <c r="D2" s="26"/>
      <c r="E2" s="25"/>
      <c r="F2" s="25"/>
      <c r="G2" s="25" t="s">
        <v>299</v>
      </c>
      <c r="H2" s="25"/>
      <c r="I2" s="25" t="s">
        <v>299</v>
      </c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2">
      <c r="A3" s="25" t="s">
        <v>300</v>
      </c>
      <c r="B3" s="26" t="s">
        <v>301</v>
      </c>
      <c r="C3" s="25" t="s">
        <v>299</v>
      </c>
      <c r="D3" s="26" t="s">
        <v>299</v>
      </c>
      <c r="E3" s="25"/>
      <c r="F3" s="25"/>
      <c r="G3" s="25" t="s">
        <v>299</v>
      </c>
      <c r="H3" s="25"/>
      <c r="I3" s="25" t="s">
        <v>299</v>
      </c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">
      <c r="A4" s="25" t="s">
        <v>302</v>
      </c>
      <c r="B4" s="26" t="s">
        <v>303</v>
      </c>
      <c r="C4" s="25" t="s">
        <v>299</v>
      </c>
      <c r="D4" s="26" t="s">
        <v>299</v>
      </c>
      <c r="E4" s="25"/>
      <c r="F4" s="25"/>
      <c r="G4" s="25" t="s">
        <v>299</v>
      </c>
      <c r="H4" s="25"/>
      <c r="I4" s="25" t="s">
        <v>299</v>
      </c>
      <c r="J4" s="25"/>
      <c r="K4" s="25"/>
      <c r="L4" s="25"/>
      <c r="M4" s="25"/>
      <c r="N4" s="25"/>
      <c r="O4" s="25"/>
      <c r="P4" s="25" t="s">
        <v>299</v>
      </c>
      <c r="Q4" s="25"/>
      <c r="R4" s="25"/>
    </row>
    <row r="5" spans="1:18" x14ac:dyDescent="0.2">
      <c r="A5" s="25" t="s">
        <v>304</v>
      </c>
      <c r="B5" s="26" t="s">
        <v>305</v>
      </c>
      <c r="C5" s="25" t="s">
        <v>299</v>
      </c>
      <c r="D5" s="26" t="s">
        <v>299</v>
      </c>
      <c r="E5" s="25"/>
      <c r="F5" s="25"/>
      <c r="G5" s="25"/>
      <c r="H5" s="25"/>
      <c r="I5" s="25" t="s">
        <v>299</v>
      </c>
      <c r="J5" s="25"/>
      <c r="K5" s="25"/>
      <c r="L5" s="25"/>
      <c r="M5" s="25" t="s">
        <v>299</v>
      </c>
      <c r="N5" s="25"/>
      <c r="O5" s="25"/>
      <c r="P5" s="25"/>
      <c r="Q5" s="25"/>
      <c r="R5" s="25"/>
    </row>
    <row r="6" spans="1:18" x14ac:dyDescent="0.2">
      <c r="A6" s="25" t="s">
        <v>306</v>
      </c>
      <c r="B6" s="26" t="s">
        <v>307</v>
      </c>
      <c r="C6" s="25"/>
      <c r="D6" s="26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">
      <c r="A7" s="25" t="s">
        <v>308</v>
      </c>
      <c r="B7" s="26" t="s">
        <v>309</v>
      </c>
      <c r="C7" s="25" t="s">
        <v>299</v>
      </c>
      <c r="D7" s="26" t="s">
        <v>299</v>
      </c>
      <c r="E7" s="25" t="s">
        <v>299</v>
      </c>
      <c r="F7" s="25" t="s">
        <v>299</v>
      </c>
      <c r="G7" s="25" t="s">
        <v>299</v>
      </c>
      <c r="H7" s="25"/>
      <c r="I7" s="25" t="s">
        <v>299</v>
      </c>
      <c r="J7" s="25"/>
      <c r="K7" s="25"/>
      <c r="L7" s="25"/>
      <c r="M7" s="25"/>
      <c r="N7" s="25"/>
      <c r="O7" s="25"/>
      <c r="P7" s="25"/>
      <c r="Q7" s="25"/>
      <c r="R7" s="25"/>
    </row>
    <row r="8" spans="1:18" x14ac:dyDescent="0.2">
      <c r="A8" s="25" t="s">
        <v>310</v>
      </c>
      <c r="B8" s="26" t="s">
        <v>311</v>
      </c>
      <c r="C8" s="25" t="s">
        <v>299</v>
      </c>
      <c r="D8" s="26" t="s">
        <v>299</v>
      </c>
      <c r="E8" s="25"/>
      <c r="F8" s="25"/>
      <c r="G8" s="25"/>
      <c r="H8" s="25"/>
      <c r="I8" s="25" t="s">
        <v>299</v>
      </c>
      <c r="J8" s="25"/>
      <c r="K8" s="25"/>
      <c r="L8" s="25"/>
      <c r="M8" s="25"/>
      <c r="N8" s="25"/>
      <c r="O8" s="25"/>
      <c r="P8" s="25" t="s">
        <v>299</v>
      </c>
      <c r="Q8" s="25"/>
      <c r="R8" s="25"/>
    </row>
    <row r="9" spans="1:18" x14ac:dyDescent="0.2">
      <c r="A9" s="25" t="s">
        <v>312</v>
      </c>
      <c r="B9" s="26" t="s">
        <v>313</v>
      </c>
      <c r="C9" s="25" t="s">
        <v>299</v>
      </c>
      <c r="D9" s="26" t="s">
        <v>299</v>
      </c>
      <c r="E9" s="25"/>
      <c r="F9" s="25"/>
      <c r="G9" s="25" t="s">
        <v>299</v>
      </c>
      <c r="H9" s="25"/>
      <c r="I9" s="25" t="s">
        <v>299</v>
      </c>
      <c r="J9" s="25"/>
      <c r="K9" s="25"/>
      <c r="L9" s="25"/>
      <c r="M9" s="25" t="s">
        <v>299</v>
      </c>
      <c r="N9" s="25"/>
      <c r="O9" s="25"/>
      <c r="P9" s="25"/>
      <c r="Q9" s="25"/>
      <c r="R9" s="25"/>
    </row>
    <row r="10" spans="1:18" x14ac:dyDescent="0.2">
      <c r="A10" s="25" t="s">
        <v>314</v>
      </c>
      <c r="B10" s="26" t="s">
        <v>315</v>
      </c>
      <c r="C10" s="25" t="s">
        <v>299</v>
      </c>
      <c r="D10" s="26"/>
      <c r="E10" s="25"/>
      <c r="F10" s="25" t="s">
        <v>299</v>
      </c>
      <c r="G10" s="25" t="s">
        <v>299</v>
      </c>
      <c r="H10" s="25"/>
      <c r="I10" s="25" t="s">
        <v>299</v>
      </c>
      <c r="J10" s="25"/>
      <c r="K10" s="25"/>
      <c r="L10" s="25"/>
      <c r="M10" s="25"/>
      <c r="N10" s="25"/>
      <c r="O10" s="25" t="s">
        <v>299</v>
      </c>
      <c r="P10" s="25"/>
      <c r="Q10" s="25"/>
      <c r="R10" s="25"/>
    </row>
    <row r="11" spans="1:18" x14ac:dyDescent="0.2">
      <c r="A11" s="25" t="s">
        <v>316</v>
      </c>
      <c r="B11" s="26" t="s">
        <v>317</v>
      </c>
      <c r="C11" s="25"/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x14ac:dyDescent="0.2">
      <c r="A12" s="25" t="s">
        <v>318</v>
      </c>
      <c r="B12" s="26" t="s">
        <v>319</v>
      </c>
      <c r="C12" s="25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x14ac:dyDescent="0.2">
      <c r="A13" s="25" t="s">
        <v>320</v>
      </c>
      <c r="B13" s="26" t="s">
        <v>321</v>
      </c>
      <c r="C13" s="25" t="s">
        <v>299</v>
      </c>
      <c r="D13" s="26" t="s">
        <v>299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x14ac:dyDescent="0.2">
      <c r="A14" s="25" t="s">
        <v>322</v>
      </c>
      <c r="B14" s="26" t="s">
        <v>323</v>
      </c>
      <c r="C14" s="25" t="s">
        <v>299</v>
      </c>
      <c r="D14" s="26" t="s">
        <v>299</v>
      </c>
      <c r="E14" s="25"/>
      <c r="F14" s="25" t="s">
        <v>299</v>
      </c>
      <c r="G14" s="25" t="s">
        <v>299</v>
      </c>
      <c r="H14" s="25"/>
      <c r="I14" s="25" t="s">
        <v>299</v>
      </c>
      <c r="J14" s="25"/>
      <c r="K14" s="25"/>
      <c r="L14" s="25"/>
      <c r="M14" s="25" t="s">
        <v>299</v>
      </c>
      <c r="N14" s="25" t="s">
        <v>299</v>
      </c>
      <c r="O14" s="25"/>
      <c r="P14" s="25" t="s">
        <v>299</v>
      </c>
      <c r="Q14" s="25"/>
      <c r="R14" s="25"/>
    </row>
    <row r="15" spans="1:18" x14ac:dyDescent="0.2">
      <c r="A15" s="25" t="s">
        <v>324</v>
      </c>
      <c r="B15" s="26" t="s">
        <v>325</v>
      </c>
      <c r="C15" s="25"/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2">
      <c r="A16" s="25" t="s">
        <v>326</v>
      </c>
      <c r="B16" s="26" t="s">
        <v>327</v>
      </c>
      <c r="C16" s="25" t="s">
        <v>299</v>
      </c>
      <c r="D16" s="26" t="s">
        <v>299</v>
      </c>
      <c r="E16" s="25"/>
      <c r="F16" s="25"/>
      <c r="G16" s="25" t="s">
        <v>299</v>
      </c>
      <c r="H16" s="25"/>
      <c r="I16" s="25" t="s">
        <v>299</v>
      </c>
      <c r="J16" s="25"/>
      <c r="K16" s="25"/>
      <c r="L16" s="25"/>
      <c r="M16" s="25"/>
      <c r="N16" s="25"/>
      <c r="O16" s="25"/>
      <c r="P16" s="25" t="s">
        <v>299</v>
      </c>
      <c r="Q16" s="25"/>
      <c r="R16" s="25"/>
    </row>
    <row r="17" spans="1:18" x14ac:dyDescent="0.2">
      <c r="A17" s="25" t="s">
        <v>328</v>
      </c>
      <c r="B17" s="26" t="s">
        <v>329</v>
      </c>
      <c r="C17" s="25"/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x14ac:dyDescent="0.2">
      <c r="A18" s="25" t="s">
        <v>330</v>
      </c>
      <c r="B18" s="26" t="s">
        <v>331</v>
      </c>
      <c r="C18" s="25" t="s">
        <v>299</v>
      </c>
      <c r="D18" s="26" t="s">
        <v>299</v>
      </c>
      <c r="E18" s="25"/>
      <c r="F18" s="25"/>
      <c r="G18" s="25" t="s">
        <v>299</v>
      </c>
      <c r="H18" s="25"/>
      <c r="I18" s="25" t="s">
        <v>299</v>
      </c>
      <c r="J18" s="25"/>
      <c r="K18" s="25"/>
      <c r="L18" s="25"/>
      <c r="M18" s="25" t="s">
        <v>299</v>
      </c>
      <c r="N18" s="25"/>
      <c r="O18" s="25"/>
      <c r="P18" s="25"/>
      <c r="Q18" s="25"/>
      <c r="R18" s="25"/>
    </row>
    <row r="19" spans="1:18" x14ac:dyDescent="0.2">
      <c r="A19" s="25" t="s">
        <v>332</v>
      </c>
      <c r="B19" s="26" t="s">
        <v>333</v>
      </c>
      <c r="C19" s="25" t="s">
        <v>299</v>
      </c>
      <c r="D19" s="26" t="s">
        <v>299</v>
      </c>
      <c r="E19" s="25" t="s">
        <v>299</v>
      </c>
      <c r="F19" s="25" t="s">
        <v>299</v>
      </c>
      <c r="G19" s="25" t="s">
        <v>299</v>
      </c>
      <c r="H19" s="25"/>
      <c r="I19" s="25" t="s">
        <v>299</v>
      </c>
      <c r="J19" s="25"/>
      <c r="K19" s="25"/>
      <c r="L19" s="25"/>
      <c r="M19" s="25" t="s">
        <v>299</v>
      </c>
      <c r="N19" s="25" t="s">
        <v>299</v>
      </c>
      <c r="O19" s="25"/>
      <c r="P19" s="25"/>
      <c r="Q19" s="25"/>
      <c r="R19" s="25"/>
    </row>
    <row r="20" spans="1:18" x14ac:dyDescent="0.2">
      <c r="A20" s="25" t="s">
        <v>334</v>
      </c>
      <c r="B20" s="26" t="s">
        <v>335</v>
      </c>
      <c r="C20" s="25" t="s">
        <v>299</v>
      </c>
      <c r="D20" s="26" t="s">
        <v>299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">
      <c r="A21" s="25" t="s">
        <v>336</v>
      </c>
      <c r="B21" s="26" t="s">
        <v>337</v>
      </c>
      <c r="C21" s="25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">
      <c r="A22" s="25" t="s">
        <v>338</v>
      </c>
      <c r="B22" s="26" t="s">
        <v>339</v>
      </c>
      <c r="C22" s="25" t="s">
        <v>299</v>
      </c>
      <c r="D22" s="26" t="s">
        <v>299</v>
      </c>
      <c r="E22" s="25"/>
      <c r="F22" s="25"/>
      <c r="G22" s="25" t="s">
        <v>299</v>
      </c>
      <c r="H22" s="25"/>
      <c r="I22" s="25" t="s">
        <v>299</v>
      </c>
      <c r="J22" s="25"/>
      <c r="K22" s="25"/>
      <c r="L22" s="25"/>
      <c r="M22" s="25" t="s">
        <v>299</v>
      </c>
      <c r="N22" s="25"/>
      <c r="O22" s="25"/>
      <c r="P22" s="25"/>
      <c r="Q22" s="25"/>
      <c r="R22" s="25"/>
    </row>
    <row r="23" spans="1:18" x14ac:dyDescent="0.2">
      <c r="A23" s="25" t="s">
        <v>340</v>
      </c>
      <c r="B23" s="26" t="s">
        <v>341</v>
      </c>
      <c r="C23" s="25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">
      <c r="A24" s="25" t="s">
        <v>342</v>
      </c>
      <c r="B24" s="26" t="s">
        <v>343</v>
      </c>
      <c r="C24" s="25" t="s">
        <v>299</v>
      </c>
      <c r="D24" s="26"/>
      <c r="E24" s="25"/>
      <c r="F24" s="25"/>
      <c r="G24" s="25" t="s">
        <v>299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">
      <c r="A25" s="25" t="s">
        <v>344</v>
      </c>
      <c r="B25" s="26" t="s">
        <v>345</v>
      </c>
      <c r="C25" s="25" t="s">
        <v>299</v>
      </c>
      <c r="D25" s="26" t="s">
        <v>299</v>
      </c>
      <c r="E25" s="25"/>
      <c r="F25" s="25" t="s">
        <v>299</v>
      </c>
      <c r="G25" s="25" t="s">
        <v>299</v>
      </c>
      <c r="H25" s="25"/>
      <c r="I25" s="25" t="s">
        <v>299</v>
      </c>
      <c r="J25" s="25"/>
      <c r="K25" s="25"/>
      <c r="L25" s="25"/>
      <c r="M25" s="25"/>
      <c r="N25" s="25"/>
      <c r="O25" s="25"/>
      <c r="P25" s="25"/>
      <c r="Q25" s="25"/>
      <c r="R25" s="25"/>
    </row>
    <row r="26" spans="1:18" x14ac:dyDescent="0.2">
      <c r="A26" s="25" t="s">
        <v>346</v>
      </c>
      <c r="B26" s="26" t="s">
        <v>347</v>
      </c>
      <c r="C26" s="25" t="s">
        <v>299</v>
      </c>
      <c r="D26" s="26" t="s">
        <v>299</v>
      </c>
      <c r="E26" s="25"/>
      <c r="F26" s="25"/>
      <c r="G26" s="25" t="s">
        <v>299</v>
      </c>
      <c r="H26" s="25"/>
      <c r="I26" s="25" t="s">
        <v>299</v>
      </c>
      <c r="J26" s="25"/>
      <c r="K26" s="25"/>
      <c r="L26" s="25"/>
      <c r="M26" s="25"/>
      <c r="N26" s="25"/>
      <c r="O26" s="25"/>
      <c r="P26" s="25"/>
      <c r="Q26" s="25"/>
      <c r="R26" s="25"/>
    </row>
    <row r="27" spans="1:18" x14ac:dyDescent="0.2">
      <c r="A27" s="25" t="s">
        <v>348</v>
      </c>
      <c r="B27" s="26" t="s">
        <v>349</v>
      </c>
      <c r="C27" s="25" t="s">
        <v>299</v>
      </c>
      <c r="D27" s="26"/>
      <c r="E27" s="25"/>
      <c r="F27" s="25"/>
      <c r="G27" s="25"/>
      <c r="H27" s="25"/>
      <c r="I27" s="25" t="s">
        <v>299</v>
      </c>
      <c r="J27" s="25"/>
      <c r="K27" s="25"/>
      <c r="L27" s="25"/>
      <c r="M27" s="25"/>
      <c r="N27" s="25"/>
      <c r="O27" s="25"/>
      <c r="P27" s="25"/>
      <c r="Q27" s="25"/>
      <c r="R27" s="25"/>
    </row>
    <row r="28" spans="1:18" x14ac:dyDescent="0.2">
      <c r="A28" s="25" t="s">
        <v>350</v>
      </c>
      <c r="B28" s="26" t="s">
        <v>351</v>
      </c>
      <c r="C28" s="25" t="s">
        <v>299</v>
      </c>
      <c r="D28" s="26" t="s">
        <v>299</v>
      </c>
      <c r="E28" s="25"/>
      <c r="F28" s="25" t="s">
        <v>299</v>
      </c>
      <c r="G28" s="25" t="s">
        <v>299</v>
      </c>
      <c r="H28" s="25"/>
      <c r="I28" s="25" t="s">
        <v>299</v>
      </c>
      <c r="J28" s="25"/>
      <c r="K28" s="25"/>
      <c r="L28" s="25"/>
      <c r="M28" s="25"/>
      <c r="N28" s="25"/>
      <c r="O28" s="25" t="s">
        <v>299</v>
      </c>
      <c r="P28" s="25"/>
      <c r="Q28" s="25"/>
      <c r="R28" s="25"/>
    </row>
    <row r="29" spans="1:18" x14ac:dyDescent="0.2">
      <c r="A29" s="25" t="s">
        <v>352</v>
      </c>
      <c r="B29" s="26" t="s">
        <v>353</v>
      </c>
      <c r="C29" s="25" t="s">
        <v>299</v>
      </c>
      <c r="D29" s="26"/>
      <c r="E29" s="25"/>
      <c r="F29" s="25"/>
      <c r="G29" s="25"/>
      <c r="H29" s="25"/>
      <c r="I29" s="25" t="s">
        <v>299</v>
      </c>
      <c r="J29" s="25"/>
      <c r="K29" s="25"/>
      <c r="L29" s="25"/>
      <c r="M29" s="25"/>
      <c r="N29" s="25"/>
      <c r="O29" s="25"/>
      <c r="P29" s="25"/>
      <c r="Q29" s="25"/>
      <c r="R29" s="25"/>
    </row>
    <row r="30" spans="1:18" x14ac:dyDescent="0.2">
      <c r="A30" s="25" t="s">
        <v>354</v>
      </c>
      <c r="B30" s="26" t="s">
        <v>355</v>
      </c>
      <c r="C30" s="25"/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">
      <c r="A31" s="25" t="s">
        <v>356</v>
      </c>
      <c r="B31" s="26" t="s">
        <v>357</v>
      </c>
      <c r="C31" s="25" t="s">
        <v>299</v>
      </c>
      <c r="D31" s="26" t="s">
        <v>299</v>
      </c>
      <c r="E31" s="25"/>
      <c r="F31" s="25"/>
      <c r="G31" s="25" t="s">
        <v>299</v>
      </c>
      <c r="H31" s="25"/>
      <c r="I31" s="25" t="s">
        <v>299</v>
      </c>
      <c r="J31" s="25"/>
      <c r="K31" s="25"/>
      <c r="L31" s="25"/>
      <c r="M31" s="25" t="s">
        <v>299</v>
      </c>
      <c r="N31" s="25"/>
      <c r="O31" s="25"/>
      <c r="P31" s="25"/>
      <c r="Q31" s="25"/>
      <c r="R31" s="25"/>
    </row>
    <row r="32" spans="1:18" x14ac:dyDescent="0.2">
      <c r="A32" s="25" t="s">
        <v>358</v>
      </c>
      <c r="B32" s="26" t="s">
        <v>359</v>
      </c>
      <c r="C32" s="25" t="s">
        <v>299</v>
      </c>
      <c r="D32" s="26" t="s">
        <v>299</v>
      </c>
      <c r="E32" s="25"/>
      <c r="F32" s="25"/>
      <c r="G32" s="25" t="s">
        <v>299</v>
      </c>
      <c r="H32" s="25"/>
      <c r="I32" s="25" t="s">
        <v>299</v>
      </c>
      <c r="J32" s="25"/>
      <c r="K32" s="25"/>
      <c r="L32" s="25"/>
      <c r="M32" s="25"/>
      <c r="N32" s="25"/>
      <c r="O32" s="25"/>
      <c r="P32" s="25"/>
      <c r="Q32" s="25"/>
      <c r="R32" s="25"/>
    </row>
    <row r="33" spans="1:18" x14ac:dyDescent="0.2">
      <c r="A33" s="25" t="s">
        <v>360</v>
      </c>
      <c r="B33" s="26" t="s">
        <v>361</v>
      </c>
      <c r="C33" s="25" t="s">
        <v>299</v>
      </c>
      <c r="D33" s="26" t="s">
        <v>299</v>
      </c>
      <c r="E33" s="25"/>
      <c r="F33" s="25"/>
      <c r="G33" s="25" t="s">
        <v>299</v>
      </c>
      <c r="H33" s="25"/>
      <c r="I33" s="25" t="s">
        <v>299</v>
      </c>
      <c r="J33" s="25"/>
      <c r="K33" s="25"/>
      <c r="L33" s="25"/>
      <c r="M33" s="25"/>
      <c r="N33" s="25"/>
      <c r="O33" s="25"/>
      <c r="P33" s="25"/>
      <c r="Q33" s="25"/>
      <c r="R33" s="25"/>
    </row>
    <row r="34" spans="1:18" x14ac:dyDescent="0.2">
      <c r="A34" s="25" t="s">
        <v>362</v>
      </c>
      <c r="B34" s="26" t="s">
        <v>363</v>
      </c>
      <c r="C34" s="25" t="s">
        <v>299</v>
      </c>
      <c r="D34" s="26" t="s">
        <v>299</v>
      </c>
      <c r="E34" s="25" t="s">
        <v>299</v>
      </c>
      <c r="F34" s="25" t="s">
        <v>299</v>
      </c>
      <c r="G34" s="25" t="s">
        <v>299</v>
      </c>
      <c r="H34" s="25"/>
      <c r="I34" s="25" t="s">
        <v>299</v>
      </c>
      <c r="J34" s="25"/>
      <c r="K34" s="25"/>
      <c r="L34" s="25"/>
      <c r="M34" s="25"/>
      <c r="N34" s="25" t="s">
        <v>299</v>
      </c>
      <c r="O34" s="25"/>
      <c r="P34" s="25"/>
      <c r="Q34" s="25"/>
      <c r="R34" s="25"/>
    </row>
    <row r="35" spans="1:18" x14ac:dyDescent="0.2">
      <c r="A35" s="25" t="s">
        <v>364</v>
      </c>
      <c r="B35" s="26" t="s">
        <v>365</v>
      </c>
      <c r="C35" s="25" t="s">
        <v>299</v>
      </c>
      <c r="D35" s="26"/>
      <c r="E35" s="25"/>
      <c r="F35" s="25"/>
      <c r="G35" s="25"/>
      <c r="H35" s="25"/>
      <c r="I35" s="25" t="s">
        <v>299</v>
      </c>
      <c r="J35" s="25"/>
      <c r="K35" s="25"/>
      <c r="L35" s="25"/>
      <c r="M35" s="25"/>
      <c r="N35" s="25"/>
      <c r="O35" s="25"/>
      <c r="P35" s="25"/>
      <c r="Q35" s="25"/>
      <c r="R35" s="25"/>
    </row>
    <row r="36" spans="1:18" x14ac:dyDescent="0.2">
      <c r="A36" s="25" t="s">
        <v>366</v>
      </c>
      <c r="B36" s="26" t="s">
        <v>367</v>
      </c>
      <c r="C36" s="25" t="s">
        <v>299</v>
      </c>
      <c r="D36" s="26" t="s">
        <v>299</v>
      </c>
      <c r="E36" s="25" t="s">
        <v>299</v>
      </c>
      <c r="F36" s="25"/>
      <c r="G36" s="25" t="s">
        <v>299</v>
      </c>
      <c r="H36" s="25"/>
      <c r="I36" s="25" t="s">
        <v>299</v>
      </c>
      <c r="J36" s="25"/>
      <c r="K36" s="25"/>
      <c r="L36" s="25"/>
      <c r="M36" s="25"/>
      <c r="N36" s="25" t="s">
        <v>299</v>
      </c>
      <c r="O36" s="25"/>
      <c r="P36" s="25"/>
      <c r="Q36" s="25"/>
      <c r="R36" s="25"/>
    </row>
    <row r="37" spans="1:18" x14ac:dyDescent="0.2">
      <c r="A37" s="25" t="s">
        <v>368</v>
      </c>
      <c r="B37" s="26" t="s">
        <v>369</v>
      </c>
      <c r="C37" s="25"/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x14ac:dyDescent="0.2">
      <c r="A38" s="25" t="s">
        <v>370</v>
      </c>
      <c r="B38" s="26" t="s">
        <v>371</v>
      </c>
      <c r="C38" s="25" t="s">
        <v>299</v>
      </c>
      <c r="D38" s="26" t="s">
        <v>299</v>
      </c>
      <c r="E38" s="25" t="s">
        <v>299</v>
      </c>
      <c r="F38" s="25" t="s">
        <v>299</v>
      </c>
      <c r="G38" s="25" t="s">
        <v>299</v>
      </c>
      <c r="H38" s="25"/>
      <c r="I38" s="25" t="s">
        <v>299</v>
      </c>
      <c r="J38" s="25"/>
      <c r="K38" s="25"/>
      <c r="L38" s="25"/>
      <c r="M38" s="25"/>
      <c r="N38" s="25"/>
      <c r="O38" s="25"/>
      <c r="P38" s="25"/>
      <c r="Q38" s="25"/>
      <c r="R38" s="25"/>
    </row>
    <row r="39" spans="1:18" x14ac:dyDescent="0.2">
      <c r="A39" s="25" t="s">
        <v>372</v>
      </c>
      <c r="B39" s="26" t="s">
        <v>37</v>
      </c>
      <c r="C39" s="25" t="s">
        <v>299</v>
      </c>
      <c r="D39" s="26" t="s">
        <v>299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x14ac:dyDescent="0.2">
      <c r="A40" s="25" t="s">
        <v>373</v>
      </c>
      <c r="B40" s="26" t="s">
        <v>374</v>
      </c>
      <c r="C40" s="25" t="s">
        <v>299</v>
      </c>
      <c r="D40" s="26" t="s">
        <v>299</v>
      </c>
      <c r="E40" s="25"/>
      <c r="F40" s="25" t="s">
        <v>299</v>
      </c>
      <c r="G40" s="25" t="s">
        <v>299</v>
      </c>
      <c r="H40" s="25"/>
      <c r="I40" s="25" t="s">
        <v>299</v>
      </c>
      <c r="J40" s="25"/>
      <c r="K40" s="25"/>
      <c r="L40" s="25"/>
      <c r="M40" s="25"/>
      <c r="N40" s="25" t="s">
        <v>299</v>
      </c>
      <c r="O40" s="25" t="s">
        <v>299</v>
      </c>
      <c r="P40" s="25" t="s">
        <v>299</v>
      </c>
      <c r="Q40" s="25"/>
      <c r="R40" s="25"/>
    </row>
    <row r="41" spans="1:18" x14ac:dyDescent="0.2">
      <c r="A41" s="25" t="s">
        <v>375</v>
      </c>
      <c r="B41" s="26" t="s">
        <v>376</v>
      </c>
      <c r="C41" s="25" t="s">
        <v>299</v>
      </c>
      <c r="D41" s="26" t="s">
        <v>299</v>
      </c>
      <c r="E41" s="25"/>
      <c r="F41" s="25"/>
      <c r="G41" s="25"/>
      <c r="H41" s="25"/>
      <c r="I41" s="25" t="s">
        <v>299</v>
      </c>
      <c r="J41" s="25"/>
      <c r="K41" s="25"/>
      <c r="L41" s="25"/>
      <c r="M41" s="25" t="s">
        <v>299</v>
      </c>
      <c r="N41" s="25"/>
      <c r="O41" s="25"/>
      <c r="P41" s="25"/>
      <c r="Q41" s="25"/>
      <c r="R41" s="25"/>
    </row>
    <row r="42" spans="1:18" x14ac:dyDescent="0.2">
      <c r="A42" s="25" t="s">
        <v>377</v>
      </c>
      <c r="B42" s="26" t="s">
        <v>378</v>
      </c>
      <c r="C42" s="25" t="s">
        <v>299</v>
      </c>
      <c r="D42" s="26" t="s">
        <v>299</v>
      </c>
      <c r="E42" s="25"/>
      <c r="F42" s="25"/>
      <c r="G42" s="25" t="s">
        <v>299</v>
      </c>
      <c r="H42" s="25"/>
      <c r="I42" s="25" t="s">
        <v>299</v>
      </c>
      <c r="J42" s="25"/>
      <c r="K42" s="25"/>
      <c r="L42" s="25"/>
      <c r="M42" s="25"/>
      <c r="N42" s="25"/>
      <c r="O42" s="25"/>
      <c r="P42" s="25"/>
      <c r="Q42" s="25"/>
      <c r="R42" s="25"/>
    </row>
    <row r="43" spans="1:18" x14ac:dyDescent="0.2">
      <c r="A43" s="25" t="s">
        <v>379</v>
      </c>
      <c r="B43" s="26" t="s">
        <v>380</v>
      </c>
      <c r="C43" s="25" t="s">
        <v>299</v>
      </c>
      <c r="D43" s="26"/>
      <c r="E43" s="25"/>
      <c r="F43" s="25"/>
      <c r="G43" s="25" t="s">
        <v>299</v>
      </c>
      <c r="H43" s="25"/>
      <c r="I43" s="25" t="s">
        <v>299</v>
      </c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">
      <c r="A44" s="25" t="s">
        <v>381</v>
      </c>
      <c r="B44" s="26" t="s">
        <v>382</v>
      </c>
      <c r="C44" s="25" t="s">
        <v>299</v>
      </c>
      <c r="D44" s="26" t="s">
        <v>299</v>
      </c>
      <c r="E44" s="25"/>
      <c r="F44" s="25"/>
      <c r="G44" s="25" t="s">
        <v>299</v>
      </c>
      <c r="H44" s="25"/>
      <c r="I44" s="25" t="s">
        <v>299</v>
      </c>
      <c r="J44" s="25"/>
      <c r="K44" s="25"/>
      <c r="L44" s="25"/>
      <c r="M44" s="25" t="s">
        <v>299</v>
      </c>
      <c r="N44" s="25"/>
      <c r="O44" s="25"/>
      <c r="P44" s="25" t="s">
        <v>299</v>
      </c>
      <c r="Q44" s="25"/>
      <c r="R44" s="25"/>
    </row>
    <row r="45" spans="1:18" x14ac:dyDescent="0.2">
      <c r="A45" s="25" t="s">
        <v>383</v>
      </c>
      <c r="B45" s="26" t="s">
        <v>384</v>
      </c>
      <c r="C45" s="25" t="s">
        <v>299</v>
      </c>
      <c r="D45" s="26" t="s">
        <v>299</v>
      </c>
      <c r="E45" s="25"/>
      <c r="F45" s="25"/>
      <c r="G45" s="25" t="s">
        <v>299</v>
      </c>
      <c r="H45" s="25"/>
      <c r="I45" s="25" t="s">
        <v>299</v>
      </c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">
      <c r="A46" s="25" t="s">
        <v>385</v>
      </c>
      <c r="B46" s="26" t="s">
        <v>386</v>
      </c>
      <c r="C46" s="25" t="s">
        <v>299</v>
      </c>
      <c r="D46" s="26" t="s">
        <v>299</v>
      </c>
      <c r="E46" s="25"/>
      <c r="F46" s="25"/>
      <c r="G46" s="25" t="s">
        <v>299</v>
      </c>
      <c r="H46" s="25"/>
      <c r="I46" s="25" t="s">
        <v>299</v>
      </c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">
      <c r="A47" s="25" t="s">
        <v>387</v>
      </c>
      <c r="B47" s="26" t="s">
        <v>388</v>
      </c>
      <c r="C47" s="25" t="s">
        <v>299</v>
      </c>
      <c r="D47" s="26" t="s">
        <v>299</v>
      </c>
      <c r="E47" s="25"/>
      <c r="F47" s="25"/>
      <c r="G47" s="25" t="s">
        <v>299</v>
      </c>
      <c r="H47" s="25"/>
      <c r="I47" s="25" t="s">
        <v>299</v>
      </c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">
      <c r="A48" s="25" t="s">
        <v>389</v>
      </c>
      <c r="B48" s="26" t="s">
        <v>390</v>
      </c>
      <c r="C48" s="25" t="s">
        <v>299</v>
      </c>
      <c r="D48" s="26" t="s">
        <v>299</v>
      </c>
      <c r="E48" s="25"/>
      <c r="F48" s="25"/>
      <c r="G48" s="25" t="s">
        <v>299</v>
      </c>
      <c r="H48" s="25"/>
      <c r="I48" s="25" t="s">
        <v>299</v>
      </c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">
      <c r="A49" s="25" t="s">
        <v>391</v>
      </c>
      <c r="B49" s="26" t="s">
        <v>392</v>
      </c>
      <c r="C49" s="25" t="s">
        <v>299</v>
      </c>
      <c r="D49" s="26" t="s">
        <v>299</v>
      </c>
      <c r="E49" s="25"/>
      <c r="F49" s="25"/>
      <c r="G49" s="25" t="s">
        <v>299</v>
      </c>
      <c r="H49" s="25"/>
      <c r="I49" s="25" t="s">
        <v>299</v>
      </c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">
      <c r="A50" s="25" t="s">
        <v>393</v>
      </c>
      <c r="B50" s="26" t="s">
        <v>394</v>
      </c>
      <c r="C50" s="25" t="s">
        <v>299</v>
      </c>
      <c r="D50" s="26" t="s">
        <v>299</v>
      </c>
      <c r="E50" s="25"/>
      <c r="F50" s="25" t="s">
        <v>299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25" t="s">
        <v>395</v>
      </c>
      <c r="B51" s="26" t="s">
        <v>303</v>
      </c>
      <c r="C51" s="25" t="s">
        <v>299</v>
      </c>
      <c r="D51" s="26" t="s">
        <v>299</v>
      </c>
      <c r="E51" s="25" t="s">
        <v>299</v>
      </c>
      <c r="F51" s="25" t="s">
        <v>299</v>
      </c>
      <c r="G51" s="25" t="s">
        <v>299</v>
      </c>
      <c r="H51" s="25"/>
      <c r="I51" s="25" t="s">
        <v>299</v>
      </c>
      <c r="J51" s="25"/>
      <c r="K51" s="25"/>
      <c r="L51" s="25"/>
      <c r="M51" s="25"/>
      <c r="N51" s="25"/>
      <c r="O51" s="25"/>
      <c r="P51" s="25" t="s">
        <v>299</v>
      </c>
      <c r="Q51" s="25"/>
      <c r="R51" s="25"/>
    </row>
    <row r="52" spans="1:18" x14ac:dyDescent="0.2">
      <c r="A52" s="25" t="s">
        <v>396</v>
      </c>
      <c r="B52" s="26" t="s">
        <v>397</v>
      </c>
      <c r="C52" s="25" t="s">
        <v>299</v>
      </c>
      <c r="D52" s="26"/>
      <c r="E52" s="25"/>
      <c r="F52" s="25"/>
      <c r="G52" s="25" t="s">
        <v>299</v>
      </c>
      <c r="H52" s="25"/>
      <c r="I52" s="25" t="s">
        <v>299</v>
      </c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25" t="s">
        <v>398</v>
      </c>
      <c r="B53" s="26" t="s">
        <v>399</v>
      </c>
      <c r="C53" s="25" t="s">
        <v>299</v>
      </c>
      <c r="D53" s="26" t="s">
        <v>299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">
      <c r="A54" s="25" t="s">
        <v>400</v>
      </c>
      <c r="B54" s="26" t="s">
        <v>401</v>
      </c>
      <c r="C54" s="25" t="s">
        <v>299</v>
      </c>
      <c r="D54" s="26" t="s">
        <v>299</v>
      </c>
      <c r="E54" s="25"/>
      <c r="F54" s="25"/>
      <c r="G54" s="25" t="s">
        <v>299</v>
      </c>
      <c r="H54" s="25"/>
      <c r="I54" s="25" t="s">
        <v>299</v>
      </c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">
      <c r="A55" s="25" t="s">
        <v>402</v>
      </c>
      <c r="B55" s="26" t="s">
        <v>403</v>
      </c>
      <c r="C55" s="25" t="s">
        <v>299</v>
      </c>
      <c r="D55" s="26"/>
      <c r="E55" s="25"/>
      <c r="F55" s="25"/>
      <c r="G55" s="25"/>
      <c r="H55" s="25"/>
      <c r="I55" s="25" t="s">
        <v>299</v>
      </c>
      <c r="J55" s="25"/>
      <c r="K55" s="25"/>
      <c r="L55" s="25"/>
      <c r="M55" s="25" t="s">
        <v>299</v>
      </c>
      <c r="N55" s="25"/>
      <c r="O55" s="25"/>
      <c r="P55" s="25"/>
      <c r="Q55" s="25"/>
      <c r="R55" s="25"/>
    </row>
    <row r="56" spans="1:18" x14ac:dyDescent="0.2">
      <c r="A56" s="25" t="s">
        <v>404</v>
      </c>
      <c r="B56" s="26" t="s">
        <v>405</v>
      </c>
      <c r="C56" s="25" t="s">
        <v>299</v>
      </c>
      <c r="D56" s="26" t="s">
        <v>299</v>
      </c>
      <c r="E56" s="25"/>
      <c r="F56" s="25" t="s">
        <v>299</v>
      </c>
      <c r="G56" s="25" t="s">
        <v>299</v>
      </c>
      <c r="H56" s="25"/>
      <c r="I56" s="25" t="s">
        <v>299</v>
      </c>
      <c r="J56" s="25"/>
      <c r="K56" s="25"/>
      <c r="L56" s="25"/>
      <c r="M56" s="25"/>
      <c r="N56" s="25" t="s">
        <v>299</v>
      </c>
      <c r="O56" s="25"/>
      <c r="P56" s="25" t="s">
        <v>299</v>
      </c>
      <c r="Q56" s="25"/>
      <c r="R56" s="25"/>
    </row>
    <row r="57" spans="1:18" x14ac:dyDescent="0.2">
      <c r="A57" s="25" t="s">
        <v>406</v>
      </c>
      <c r="B57" s="26" t="s">
        <v>298</v>
      </c>
      <c r="C57" s="25" t="s">
        <v>299</v>
      </c>
      <c r="D57" s="26"/>
      <c r="E57" s="25"/>
      <c r="F57" s="25"/>
      <c r="G57" s="25" t="s">
        <v>299</v>
      </c>
      <c r="H57" s="25"/>
      <c r="I57" s="25" t="s">
        <v>299</v>
      </c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">
      <c r="A58" s="25" t="s">
        <v>407</v>
      </c>
      <c r="B58" s="26" t="s">
        <v>408</v>
      </c>
      <c r="C58" s="25"/>
      <c r="D58" s="26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">
      <c r="A59" s="25" t="s">
        <v>409</v>
      </c>
      <c r="B59" s="26" t="s">
        <v>410</v>
      </c>
      <c r="C59" s="25" t="s">
        <v>299</v>
      </c>
      <c r="D59" s="26" t="s">
        <v>299</v>
      </c>
      <c r="E59" s="25"/>
      <c r="F59" s="25"/>
      <c r="G59" s="25"/>
      <c r="H59" s="25"/>
      <c r="I59" s="25" t="s">
        <v>299</v>
      </c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">
      <c r="A60" s="25" t="s">
        <v>411</v>
      </c>
      <c r="B60" s="26" t="s">
        <v>412</v>
      </c>
      <c r="C60" s="25" t="s">
        <v>299</v>
      </c>
      <c r="D60" s="26" t="s">
        <v>299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">
      <c r="A61" s="25" t="s">
        <v>413</v>
      </c>
      <c r="B61" s="26" t="s">
        <v>414</v>
      </c>
      <c r="C61" s="25" t="s">
        <v>299</v>
      </c>
      <c r="D61" s="26" t="s">
        <v>299</v>
      </c>
      <c r="E61" s="25"/>
      <c r="F61" s="25"/>
      <c r="G61" s="25" t="s">
        <v>299</v>
      </c>
      <c r="H61" s="25"/>
      <c r="I61" s="25" t="s">
        <v>299</v>
      </c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">
      <c r="A62" s="25" t="s">
        <v>415</v>
      </c>
      <c r="B62" s="26" t="s">
        <v>59</v>
      </c>
      <c r="C62" s="25" t="s">
        <v>299</v>
      </c>
      <c r="D62" s="26" t="s">
        <v>299</v>
      </c>
      <c r="E62" s="25"/>
      <c r="F62" s="25"/>
      <c r="G62" s="25" t="s">
        <v>299</v>
      </c>
      <c r="H62" s="25"/>
      <c r="I62" s="25" t="s">
        <v>299</v>
      </c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">
      <c r="A63" s="25" t="s">
        <v>416</v>
      </c>
      <c r="B63" s="26" t="s">
        <v>417</v>
      </c>
      <c r="C63" s="25"/>
      <c r="D63" s="26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x14ac:dyDescent="0.2">
      <c r="A64" s="25" t="s">
        <v>418</v>
      </c>
      <c r="B64" s="26" t="s">
        <v>419</v>
      </c>
      <c r="C64" s="25" t="s">
        <v>299</v>
      </c>
      <c r="D64" s="26"/>
      <c r="E64" s="25"/>
      <c r="F64" s="25"/>
      <c r="G64" s="25"/>
      <c r="H64" s="25"/>
      <c r="I64" s="25" t="s">
        <v>299</v>
      </c>
      <c r="J64" s="25"/>
      <c r="K64" s="25"/>
      <c r="L64" s="25"/>
      <c r="M64" s="25"/>
      <c r="N64" s="25"/>
      <c r="O64" s="25"/>
      <c r="P64" s="25"/>
      <c r="Q64" s="25"/>
      <c r="R64" s="25"/>
    </row>
    <row r="65" spans="1:18" x14ac:dyDescent="0.2">
      <c r="A65" s="25" t="s">
        <v>420</v>
      </c>
      <c r="B65" s="26" t="s">
        <v>421</v>
      </c>
      <c r="C65" s="25" t="s">
        <v>299</v>
      </c>
      <c r="D65" s="26" t="s">
        <v>299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x14ac:dyDescent="0.2">
      <c r="A66" s="25" t="s">
        <v>422</v>
      </c>
      <c r="B66" s="26" t="s">
        <v>423</v>
      </c>
      <c r="C66" s="25" t="s">
        <v>299</v>
      </c>
      <c r="D66" s="26" t="s">
        <v>299</v>
      </c>
      <c r="E66" s="25"/>
      <c r="F66" s="25"/>
      <c r="G66" s="25" t="s">
        <v>299</v>
      </c>
      <c r="H66" s="25"/>
      <c r="I66" s="25" t="s">
        <v>299</v>
      </c>
      <c r="J66" s="25"/>
      <c r="K66" s="25"/>
      <c r="L66" s="25"/>
      <c r="M66" s="25"/>
      <c r="N66" s="25"/>
      <c r="O66" s="25" t="s">
        <v>299</v>
      </c>
      <c r="P66" s="25"/>
      <c r="Q66" s="25"/>
      <c r="R66" s="25"/>
    </row>
    <row r="67" spans="1:18" x14ac:dyDescent="0.2">
      <c r="A67" s="25" t="s">
        <v>424</v>
      </c>
      <c r="B67" s="26" t="s">
        <v>425</v>
      </c>
      <c r="C67" s="25" t="s">
        <v>299</v>
      </c>
      <c r="D67" s="26" t="s">
        <v>299</v>
      </c>
      <c r="E67" s="25" t="s">
        <v>299</v>
      </c>
      <c r="F67" s="25"/>
      <c r="G67" s="25" t="s">
        <v>299</v>
      </c>
      <c r="H67" s="25"/>
      <c r="I67" s="25" t="s">
        <v>299</v>
      </c>
      <c r="J67" s="25"/>
      <c r="K67" s="25"/>
      <c r="L67" s="25"/>
      <c r="M67" s="25"/>
      <c r="N67" s="25"/>
      <c r="O67" s="25"/>
      <c r="P67" s="25"/>
      <c r="Q67" s="25"/>
      <c r="R67" s="25"/>
    </row>
    <row r="68" spans="1:18" x14ac:dyDescent="0.2">
      <c r="A68" s="25" t="s">
        <v>426</v>
      </c>
      <c r="B68" s="26" t="s">
        <v>303</v>
      </c>
      <c r="C68" s="25" t="s">
        <v>299</v>
      </c>
      <c r="D68" s="26" t="s">
        <v>299</v>
      </c>
      <c r="E68" s="25"/>
      <c r="F68" s="25" t="s">
        <v>299</v>
      </c>
      <c r="G68" s="25" t="s">
        <v>299</v>
      </c>
      <c r="H68" s="25"/>
      <c r="I68" s="25" t="s">
        <v>299</v>
      </c>
      <c r="J68" s="25"/>
      <c r="K68" s="25"/>
      <c r="L68" s="25"/>
      <c r="M68" s="25"/>
      <c r="N68" s="25"/>
      <c r="O68" s="25"/>
      <c r="P68" s="25" t="s">
        <v>299</v>
      </c>
      <c r="Q68" s="25"/>
      <c r="R68" s="25"/>
    </row>
    <row r="69" spans="1:18" x14ac:dyDescent="0.2">
      <c r="A69" s="25" t="s">
        <v>427</v>
      </c>
      <c r="B69" s="26" t="s">
        <v>428</v>
      </c>
      <c r="C69" s="25" t="s">
        <v>299</v>
      </c>
      <c r="D69" s="26" t="s">
        <v>299</v>
      </c>
      <c r="E69" s="25" t="s">
        <v>299</v>
      </c>
      <c r="F69" s="25" t="s">
        <v>299</v>
      </c>
      <c r="G69" s="25" t="s">
        <v>299</v>
      </c>
      <c r="H69" s="25"/>
      <c r="I69" s="25" t="s">
        <v>299</v>
      </c>
      <c r="J69" s="25"/>
      <c r="K69" s="25"/>
      <c r="L69" s="25"/>
      <c r="M69" s="25"/>
      <c r="N69" s="25"/>
      <c r="O69" s="25"/>
      <c r="P69" s="25"/>
      <c r="Q69" s="25"/>
      <c r="R69" s="25"/>
    </row>
    <row r="70" spans="1:18" x14ac:dyDescent="0.2">
      <c r="A70" s="25" t="s">
        <v>429</v>
      </c>
      <c r="B70" s="26" t="s">
        <v>430</v>
      </c>
      <c r="C70" s="25"/>
      <c r="D70" s="26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x14ac:dyDescent="0.2">
      <c r="A71" s="25" t="s">
        <v>431</v>
      </c>
      <c r="B71" s="26" t="s">
        <v>432</v>
      </c>
      <c r="C71" s="25" t="s">
        <v>299</v>
      </c>
      <c r="D71" s="26" t="s">
        <v>299</v>
      </c>
      <c r="E71" s="25" t="s">
        <v>299</v>
      </c>
      <c r="F71" s="25" t="s">
        <v>299</v>
      </c>
      <c r="G71" s="25" t="s">
        <v>299</v>
      </c>
      <c r="H71" s="25"/>
      <c r="I71" s="25" t="s">
        <v>299</v>
      </c>
      <c r="J71" s="25"/>
      <c r="K71" s="25"/>
      <c r="L71" s="25"/>
      <c r="M71" s="25"/>
      <c r="N71" s="25"/>
      <c r="O71" s="25"/>
      <c r="P71" s="25"/>
      <c r="Q71" s="25"/>
      <c r="R71" s="25"/>
    </row>
    <row r="72" spans="1:18" x14ac:dyDescent="0.2">
      <c r="A72" s="25" t="s">
        <v>433</v>
      </c>
      <c r="B72" s="26" t="s">
        <v>434</v>
      </c>
      <c r="C72" s="25" t="s">
        <v>299</v>
      </c>
      <c r="D72" s="26" t="s">
        <v>299</v>
      </c>
      <c r="E72" s="25"/>
      <c r="F72" s="25" t="s">
        <v>299</v>
      </c>
      <c r="G72" s="25" t="s">
        <v>299</v>
      </c>
      <c r="H72" s="25"/>
      <c r="I72" s="25" t="s">
        <v>299</v>
      </c>
      <c r="J72" s="25"/>
      <c r="K72" s="25"/>
      <c r="L72" s="25"/>
      <c r="M72" s="25"/>
      <c r="N72" s="25"/>
      <c r="O72" s="25"/>
      <c r="P72" s="25"/>
      <c r="Q72" s="25"/>
      <c r="R72" s="25"/>
    </row>
    <row r="73" spans="1:18" x14ac:dyDescent="0.2">
      <c r="A73" s="25" t="s">
        <v>435</v>
      </c>
      <c r="B73" s="26" t="s">
        <v>436</v>
      </c>
      <c r="C73" s="25" t="s">
        <v>299</v>
      </c>
      <c r="D73" s="26" t="s">
        <v>299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x14ac:dyDescent="0.2">
      <c r="A74" s="25" t="s">
        <v>437</v>
      </c>
      <c r="B74" s="26" t="s">
        <v>438</v>
      </c>
      <c r="C74" s="25" t="s">
        <v>299</v>
      </c>
      <c r="D74" s="26" t="s">
        <v>299</v>
      </c>
      <c r="E74" s="25"/>
      <c r="F74" s="25"/>
      <c r="G74" s="25" t="s">
        <v>299</v>
      </c>
      <c r="H74" s="25"/>
      <c r="I74" s="25" t="s">
        <v>299</v>
      </c>
      <c r="J74" s="25"/>
      <c r="K74" s="25"/>
      <c r="L74" s="25"/>
      <c r="M74" s="25"/>
      <c r="N74" s="25"/>
      <c r="O74" s="25"/>
      <c r="P74" s="25"/>
      <c r="Q74" s="25"/>
      <c r="R74" s="25"/>
    </row>
    <row r="75" spans="1:18" x14ac:dyDescent="0.2">
      <c r="A75" s="25" t="s">
        <v>439</v>
      </c>
      <c r="B75" s="26" t="s">
        <v>440</v>
      </c>
      <c r="C75" s="25" t="s">
        <v>299</v>
      </c>
      <c r="D75" s="26" t="s">
        <v>299</v>
      </c>
      <c r="E75" s="25"/>
      <c r="F75" s="25"/>
      <c r="G75" s="25" t="s">
        <v>299</v>
      </c>
      <c r="H75" s="25"/>
      <c r="I75" s="25" t="s">
        <v>299</v>
      </c>
      <c r="J75" s="25"/>
      <c r="K75" s="25"/>
      <c r="L75" s="25"/>
      <c r="M75" s="25"/>
      <c r="N75" s="25"/>
      <c r="O75" s="25"/>
      <c r="P75" s="25"/>
      <c r="Q75" s="25"/>
      <c r="R75" s="25"/>
    </row>
    <row r="76" spans="1:18" x14ac:dyDescent="0.2">
      <c r="A76" s="25" t="s">
        <v>441</v>
      </c>
      <c r="B76" s="26" t="s">
        <v>376</v>
      </c>
      <c r="C76" s="25" t="s">
        <v>299</v>
      </c>
      <c r="D76" s="26" t="s">
        <v>299</v>
      </c>
      <c r="E76" s="25"/>
      <c r="F76" s="25"/>
      <c r="G76" s="25" t="s">
        <v>299</v>
      </c>
      <c r="H76" s="25"/>
      <c r="I76" s="25" t="s">
        <v>299</v>
      </c>
      <c r="J76" s="25"/>
      <c r="K76" s="25"/>
      <c r="L76" s="25"/>
      <c r="M76" s="25"/>
      <c r="N76" s="25"/>
      <c r="O76" s="25"/>
      <c r="P76" s="25" t="s">
        <v>299</v>
      </c>
      <c r="Q76" s="25"/>
      <c r="R76" s="25"/>
    </row>
    <row r="77" spans="1:18" x14ac:dyDescent="0.2">
      <c r="A77" s="25" t="s">
        <v>442</v>
      </c>
      <c r="B77" s="26" t="s">
        <v>443</v>
      </c>
      <c r="C77" s="25" t="s">
        <v>299</v>
      </c>
      <c r="D77" s="26"/>
      <c r="E77" s="25"/>
      <c r="F77" s="25"/>
      <c r="G77" s="25" t="s">
        <v>299</v>
      </c>
      <c r="H77" s="25"/>
      <c r="I77" s="25" t="s">
        <v>299</v>
      </c>
      <c r="J77" s="25"/>
      <c r="K77" s="25"/>
      <c r="L77" s="25"/>
      <c r="M77" s="25"/>
      <c r="N77" s="25"/>
      <c r="O77" s="25"/>
      <c r="P77" s="25"/>
      <c r="Q77" s="25"/>
      <c r="R77" s="25"/>
    </row>
    <row r="78" spans="1:18" x14ac:dyDescent="0.2">
      <c r="A78" s="25" t="s">
        <v>444</v>
      </c>
      <c r="B78" s="26" t="s">
        <v>445</v>
      </c>
      <c r="C78" s="25" t="s">
        <v>299</v>
      </c>
      <c r="D78" s="26"/>
      <c r="E78" s="25"/>
      <c r="F78" s="25"/>
      <c r="G78" s="25" t="s">
        <v>299</v>
      </c>
      <c r="H78" s="25"/>
      <c r="I78" s="25" t="s">
        <v>299</v>
      </c>
      <c r="J78" s="25"/>
      <c r="K78" s="25"/>
      <c r="L78" s="25"/>
      <c r="M78" s="25"/>
      <c r="N78" s="25"/>
      <c r="O78" s="25"/>
      <c r="P78" s="25"/>
      <c r="Q78" s="25"/>
      <c r="R78" s="25"/>
    </row>
    <row r="79" spans="1:18" x14ac:dyDescent="0.2">
      <c r="A79" s="25" t="s">
        <v>446</v>
      </c>
      <c r="B79" s="26" t="s">
        <v>447</v>
      </c>
      <c r="C79" s="25" t="s">
        <v>299</v>
      </c>
      <c r="D79" s="26" t="s">
        <v>299</v>
      </c>
      <c r="E79" s="25"/>
      <c r="F79" s="25" t="s">
        <v>299</v>
      </c>
      <c r="G79" s="25" t="s">
        <v>299</v>
      </c>
      <c r="H79" s="25"/>
      <c r="I79" s="25" t="s">
        <v>299</v>
      </c>
      <c r="J79" s="25"/>
      <c r="K79" s="25"/>
      <c r="L79" s="25"/>
      <c r="M79" s="25"/>
      <c r="N79" s="25"/>
      <c r="O79" s="25"/>
      <c r="P79" s="25"/>
      <c r="Q79" s="25"/>
      <c r="R79" s="25"/>
    </row>
    <row r="80" spans="1:18" x14ac:dyDescent="0.2">
      <c r="A80" s="25" t="s">
        <v>448</v>
      </c>
      <c r="B80" s="26" t="s">
        <v>449</v>
      </c>
      <c r="C80" s="25"/>
      <c r="D80" s="26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x14ac:dyDescent="0.2">
      <c r="A81" s="25" t="s">
        <v>450</v>
      </c>
      <c r="B81" s="26" t="s">
        <v>451</v>
      </c>
      <c r="C81" s="25"/>
      <c r="D81" s="26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x14ac:dyDescent="0.2">
      <c r="A82" s="25" t="s">
        <v>452</v>
      </c>
      <c r="B82" s="26" t="s">
        <v>453</v>
      </c>
      <c r="C82" s="25" t="s">
        <v>299</v>
      </c>
      <c r="D82" s="26" t="s">
        <v>299</v>
      </c>
      <c r="E82" s="25"/>
      <c r="F82" s="25"/>
      <c r="G82" s="25" t="s">
        <v>299</v>
      </c>
      <c r="H82" s="25"/>
      <c r="I82" s="25" t="s">
        <v>299</v>
      </c>
      <c r="J82" s="25"/>
      <c r="K82" s="25"/>
      <c r="L82" s="25"/>
      <c r="M82" s="25"/>
      <c r="N82" s="25"/>
      <c r="O82" s="25"/>
      <c r="P82" s="25"/>
      <c r="Q82" s="25"/>
      <c r="R82" s="25"/>
    </row>
    <row r="83" spans="1:18" x14ac:dyDescent="0.2">
      <c r="A83" s="25" t="s">
        <v>454</v>
      </c>
      <c r="B83" s="26" t="s">
        <v>455</v>
      </c>
      <c r="C83" s="25" t="s">
        <v>299</v>
      </c>
      <c r="D83" s="26"/>
      <c r="E83" s="25"/>
      <c r="F83" s="25"/>
      <c r="G83" s="25" t="s">
        <v>299</v>
      </c>
      <c r="H83" s="25"/>
      <c r="I83" s="25" t="s">
        <v>299</v>
      </c>
      <c r="J83" s="25"/>
      <c r="K83" s="25"/>
      <c r="L83" s="25"/>
      <c r="M83" s="25"/>
      <c r="N83" s="25"/>
      <c r="O83" s="25"/>
      <c r="P83" s="25"/>
      <c r="Q83" s="25"/>
      <c r="R83" s="25"/>
    </row>
    <row r="84" spans="1:18" x14ac:dyDescent="0.2">
      <c r="A84" s="25" t="s">
        <v>456</v>
      </c>
      <c r="B84" s="26" t="s">
        <v>457</v>
      </c>
      <c r="C84" s="25" t="s">
        <v>299</v>
      </c>
      <c r="D84" s="26" t="s">
        <v>299</v>
      </c>
      <c r="E84" s="25"/>
      <c r="F84" s="25"/>
      <c r="G84" s="25" t="s">
        <v>299</v>
      </c>
      <c r="H84" s="25"/>
      <c r="I84" s="25" t="s">
        <v>299</v>
      </c>
      <c r="J84" s="25"/>
      <c r="K84" s="25"/>
      <c r="L84" s="25"/>
      <c r="M84" s="25"/>
      <c r="N84" s="25"/>
      <c r="O84" s="25"/>
      <c r="P84" s="25"/>
      <c r="Q84" s="25"/>
      <c r="R84" s="25"/>
    </row>
    <row r="85" spans="1:18" x14ac:dyDescent="0.2">
      <c r="A85" s="25" t="s">
        <v>458</v>
      </c>
      <c r="B85" s="26" t="s">
        <v>459</v>
      </c>
      <c r="C85" s="25" t="s">
        <v>299</v>
      </c>
      <c r="D85" s="26" t="s">
        <v>299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x14ac:dyDescent="0.2">
      <c r="A86" s="25" t="s">
        <v>460</v>
      </c>
      <c r="B86" s="26" t="s">
        <v>461</v>
      </c>
      <c r="C86" s="25" t="s">
        <v>299</v>
      </c>
      <c r="D86" s="26" t="s">
        <v>299</v>
      </c>
      <c r="E86" s="25"/>
      <c r="F86" s="25"/>
      <c r="G86" s="25" t="s">
        <v>299</v>
      </c>
      <c r="H86" s="25"/>
      <c r="I86" s="25" t="s">
        <v>299</v>
      </c>
      <c r="J86" s="25"/>
      <c r="K86" s="25"/>
      <c r="L86" s="25"/>
      <c r="M86" s="25"/>
      <c r="N86" s="25"/>
      <c r="O86" s="25"/>
      <c r="P86" s="25"/>
      <c r="Q86" s="25"/>
      <c r="R86" s="25"/>
    </row>
    <row r="87" spans="1:18" x14ac:dyDescent="0.2">
      <c r="A87" s="25" t="s">
        <v>462</v>
      </c>
      <c r="B87" s="26" t="s">
        <v>463</v>
      </c>
      <c r="C87" s="25" t="s">
        <v>299</v>
      </c>
      <c r="D87" s="26" t="s">
        <v>299</v>
      </c>
      <c r="E87" s="25"/>
      <c r="F87" s="25"/>
      <c r="G87" s="25" t="s">
        <v>299</v>
      </c>
      <c r="H87" s="25"/>
      <c r="I87" s="25" t="s">
        <v>299</v>
      </c>
      <c r="J87" s="25"/>
      <c r="K87" s="25"/>
      <c r="L87" s="25"/>
      <c r="M87" s="25"/>
      <c r="N87" s="25"/>
      <c r="O87" s="25"/>
      <c r="P87" s="25" t="s">
        <v>299</v>
      </c>
      <c r="Q87" s="25" t="s">
        <v>299</v>
      </c>
      <c r="R87" s="25"/>
    </row>
    <row r="88" spans="1:18" x14ac:dyDescent="0.2">
      <c r="A88" s="25" t="s">
        <v>464</v>
      </c>
      <c r="B88" s="26" t="s">
        <v>465</v>
      </c>
      <c r="C88" s="25" t="s">
        <v>299</v>
      </c>
      <c r="D88" s="26" t="s">
        <v>299</v>
      </c>
      <c r="E88" s="25" t="s">
        <v>299</v>
      </c>
      <c r="F88" s="25" t="s">
        <v>299</v>
      </c>
      <c r="G88" s="25" t="s">
        <v>299</v>
      </c>
      <c r="H88" s="25"/>
      <c r="I88" s="25" t="s">
        <v>299</v>
      </c>
      <c r="J88" s="25"/>
      <c r="K88" s="25"/>
      <c r="L88" s="25"/>
      <c r="M88" s="25" t="s">
        <v>299</v>
      </c>
      <c r="N88" s="25"/>
      <c r="O88" s="25"/>
      <c r="P88" s="25"/>
      <c r="Q88" s="25"/>
      <c r="R88" s="25"/>
    </row>
    <row r="89" spans="1:18" x14ac:dyDescent="0.2">
      <c r="A89" s="25" t="s">
        <v>466</v>
      </c>
      <c r="B89" s="26" t="s">
        <v>467</v>
      </c>
      <c r="C89" s="25" t="s">
        <v>299</v>
      </c>
      <c r="D89" s="26"/>
      <c r="E89" s="25"/>
      <c r="F89" s="25"/>
      <c r="G89" s="25" t="s">
        <v>299</v>
      </c>
      <c r="H89" s="25"/>
      <c r="I89" s="25" t="s">
        <v>299</v>
      </c>
      <c r="J89" s="25"/>
      <c r="K89" s="25"/>
      <c r="L89" s="25"/>
      <c r="M89" s="25"/>
      <c r="N89" s="25"/>
      <c r="O89" s="25"/>
      <c r="P89" s="25"/>
      <c r="Q89" s="25"/>
      <c r="R89" s="25"/>
    </row>
    <row r="90" spans="1:18" x14ac:dyDescent="0.2">
      <c r="A90" s="25" t="s">
        <v>468</v>
      </c>
      <c r="B90" s="26" t="s">
        <v>315</v>
      </c>
      <c r="C90" s="25" t="s">
        <v>299</v>
      </c>
      <c r="D90" s="26"/>
      <c r="E90" s="25"/>
      <c r="F90" s="25" t="s">
        <v>299</v>
      </c>
      <c r="G90" s="25" t="s">
        <v>299</v>
      </c>
      <c r="H90" s="25"/>
      <c r="I90" s="25" t="s">
        <v>299</v>
      </c>
      <c r="J90" s="25"/>
      <c r="K90" s="25"/>
      <c r="L90" s="25"/>
      <c r="M90" s="25"/>
      <c r="N90" s="25"/>
      <c r="O90" s="25" t="s">
        <v>299</v>
      </c>
      <c r="P90" s="25"/>
      <c r="Q90" s="25"/>
      <c r="R90" s="25"/>
    </row>
    <row r="91" spans="1:18" x14ac:dyDescent="0.2">
      <c r="A91" s="25" t="s">
        <v>469</v>
      </c>
      <c r="B91" s="26" t="s">
        <v>470</v>
      </c>
      <c r="C91" s="25" t="s">
        <v>299</v>
      </c>
      <c r="D91" s="26" t="s">
        <v>299</v>
      </c>
      <c r="E91" s="25" t="s">
        <v>299</v>
      </c>
      <c r="F91" s="25" t="s">
        <v>299</v>
      </c>
      <c r="G91" s="25" t="s">
        <v>299</v>
      </c>
      <c r="H91" s="25"/>
      <c r="I91" s="25" t="s">
        <v>299</v>
      </c>
      <c r="J91" s="25"/>
      <c r="K91" s="25"/>
      <c r="L91" s="25"/>
      <c r="M91" s="25"/>
      <c r="N91" s="25"/>
      <c r="O91" s="25"/>
      <c r="P91" s="25"/>
      <c r="Q91" s="25"/>
      <c r="R91" s="25"/>
    </row>
    <row r="92" spans="1:18" x14ac:dyDescent="0.2">
      <c r="A92" s="25" t="s">
        <v>471</v>
      </c>
      <c r="B92" s="26" t="s">
        <v>472</v>
      </c>
      <c r="C92" s="25" t="s">
        <v>299</v>
      </c>
      <c r="D92" s="26" t="s">
        <v>299</v>
      </c>
      <c r="E92" s="25" t="s">
        <v>299</v>
      </c>
      <c r="F92" s="25" t="s">
        <v>299</v>
      </c>
      <c r="G92" s="25" t="s">
        <v>299</v>
      </c>
      <c r="H92" s="25"/>
      <c r="I92" s="25" t="s">
        <v>299</v>
      </c>
      <c r="J92" s="25"/>
      <c r="K92" s="25"/>
      <c r="L92" s="25"/>
      <c r="M92" s="25"/>
      <c r="N92" s="25" t="s">
        <v>299</v>
      </c>
      <c r="O92" s="25"/>
      <c r="P92" s="25" t="s">
        <v>299</v>
      </c>
      <c r="Q92" s="25"/>
      <c r="R92" s="25"/>
    </row>
    <row r="93" spans="1:18" x14ac:dyDescent="0.2">
      <c r="A93" s="25" t="s">
        <v>473</v>
      </c>
      <c r="B93" s="26" t="s">
        <v>474</v>
      </c>
      <c r="C93" s="25" t="s">
        <v>299</v>
      </c>
      <c r="D93" s="26" t="s">
        <v>299</v>
      </c>
      <c r="E93" s="25" t="s">
        <v>299</v>
      </c>
      <c r="F93" s="25" t="s">
        <v>299</v>
      </c>
      <c r="G93" s="25" t="s">
        <v>299</v>
      </c>
      <c r="H93" s="25"/>
      <c r="I93" s="25" t="s">
        <v>299</v>
      </c>
      <c r="J93" s="25"/>
      <c r="K93" s="25"/>
      <c r="L93" s="25"/>
      <c r="M93" s="25"/>
      <c r="N93" s="25"/>
      <c r="O93" s="25"/>
      <c r="P93" s="25"/>
      <c r="Q93" s="25"/>
      <c r="R93" s="25"/>
    </row>
    <row r="94" spans="1:18" x14ac:dyDescent="0.2">
      <c r="A94" s="25" t="s">
        <v>475</v>
      </c>
      <c r="B94" s="26" t="s">
        <v>476</v>
      </c>
      <c r="C94" s="25" t="s">
        <v>299</v>
      </c>
      <c r="D94" s="26" t="s">
        <v>299</v>
      </c>
      <c r="E94" s="25"/>
      <c r="F94" s="25"/>
      <c r="G94" s="25" t="s">
        <v>299</v>
      </c>
      <c r="H94" s="25"/>
      <c r="I94" s="25" t="s">
        <v>299</v>
      </c>
      <c r="J94" s="25"/>
      <c r="K94" s="25"/>
      <c r="L94" s="25"/>
      <c r="M94" s="25"/>
      <c r="N94" s="25"/>
      <c r="O94" s="25"/>
      <c r="P94" s="25"/>
      <c r="Q94" s="25"/>
      <c r="R94" s="25"/>
    </row>
    <row r="95" spans="1:18" x14ac:dyDescent="0.2">
      <c r="A95" s="25" t="s">
        <v>477</v>
      </c>
      <c r="B95" s="26" t="s">
        <v>478</v>
      </c>
      <c r="C95" s="25"/>
      <c r="D95" s="26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x14ac:dyDescent="0.2">
      <c r="A96" s="25" t="s">
        <v>479</v>
      </c>
      <c r="B96" s="26" t="s">
        <v>480</v>
      </c>
      <c r="C96" s="25" t="s">
        <v>299</v>
      </c>
      <c r="D96" s="26" t="s">
        <v>299</v>
      </c>
      <c r="E96" s="25"/>
      <c r="F96" s="25"/>
      <c r="G96" s="25" t="s">
        <v>299</v>
      </c>
      <c r="H96" s="25"/>
      <c r="I96" s="25" t="s">
        <v>299</v>
      </c>
      <c r="J96" s="25"/>
      <c r="K96" s="25"/>
      <c r="L96" s="25"/>
      <c r="M96" s="25" t="s">
        <v>299</v>
      </c>
      <c r="N96" s="25"/>
      <c r="O96" s="25"/>
      <c r="P96" s="25"/>
      <c r="Q96" s="25"/>
      <c r="R96" s="25"/>
    </row>
    <row r="97" spans="1:18" x14ac:dyDescent="0.2">
      <c r="A97" s="25" t="s">
        <v>481</v>
      </c>
      <c r="B97" s="26" t="s">
        <v>482</v>
      </c>
      <c r="C97" s="25" t="s">
        <v>299</v>
      </c>
      <c r="D97" s="26"/>
      <c r="E97" s="25"/>
      <c r="F97" s="25"/>
      <c r="G97" s="25" t="s">
        <v>299</v>
      </c>
      <c r="H97" s="25"/>
      <c r="I97" s="25" t="s">
        <v>299</v>
      </c>
      <c r="J97" s="25"/>
      <c r="K97" s="25"/>
      <c r="L97" s="25"/>
      <c r="M97" s="25"/>
      <c r="N97" s="25"/>
      <c r="O97" s="25"/>
      <c r="P97" s="25"/>
      <c r="Q97" s="25"/>
      <c r="R97" s="25"/>
    </row>
    <row r="98" spans="1:18" x14ac:dyDescent="0.2">
      <c r="A98" s="25" t="s">
        <v>483</v>
      </c>
      <c r="B98" s="26" t="s">
        <v>484</v>
      </c>
      <c r="C98" s="25" t="s">
        <v>299</v>
      </c>
      <c r="D98" s="26" t="s">
        <v>299</v>
      </c>
      <c r="E98" s="25"/>
      <c r="F98" s="25"/>
      <c r="G98" s="25" t="s">
        <v>299</v>
      </c>
      <c r="H98" s="25"/>
      <c r="I98" s="25" t="s">
        <v>299</v>
      </c>
      <c r="J98" s="25"/>
      <c r="K98" s="25"/>
      <c r="L98" s="25"/>
      <c r="M98" s="25"/>
      <c r="N98" s="25"/>
      <c r="O98" s="25"/>
      <c r="P98" s="25"/>
      <c r="Q98" s="25"/>
      <c r="R98" s="25"/>
    </row>
    <row r="99" spans="1:18" x14ac:dyDescent="0.2">
      <c r="A99" s="25" t="s">
        <v>485</v>
      </c>
      <c r="B99" s="26" t="s">
        <v>96</v>
      </c>
      <c r="C99" s="25" t="s">
        <v>299</v>
      </c>
      <c r="D99" s="26" t="s">
        <v>299</v>
      </c>
      <c r="E99" s="25"/>
      <c r="F99" s="25"/>
      <c r="G99" s="25" t="s">
        <v>299</v>
      </c>
      <c r="H99" s="25"/>
      <c r="I99" s="25" t="s">
        <v>299</v>
      </c>
      <c r="J99" s="25"/>
      <c r="K99" s="25"/>
      <c r="L99" s="25"/>
      <c r="M99" s="25"/>
      <c r="N99" s="25"/>
      <c r="O99" s="25"/>
      <c r="P99" s="25"/>
      <c r="Q99" s="25"/>
      <c r="R99" s="25"/>
    </row>
    <row r="100" spans="1:18" x14ac:dyDescent="0.2">
      <c r="A100" s="25" t="s">
        <v>486</v>
      </c>
      <c r="B100" s="26" t="s">
        <v>487</v>
      </c>
      <c r="C100" s="25" t="s">
        <v>299</v>
      </c>
      <c r="D100" s="26" t="s">
        <v>299</v>
      </c>
      <c r="E100" s="25"/>
      <c r="F100" s="25"/>
      <c r="G100" s="25" t="s">
        <v>299</v>
      </c>
      <c r="H100" s="25"/>
      <c r="I100" s="25" t="s">
        <v>299</v>
      </c>
      <c r="J100" s="25"/>
      <c r="K100" s="25"/>
      <c r="L100" s="25"/>
      <c r="M100" s="25" t="s">
        <v>299</v>
      </c>
      <c r="N100" s="25"/>
      <c r="O100" s="25"/>
      <c r="P100" s="25"/>
      <c r="Q100" s="25"/>
      <c r="R100" s="25"/>
    </row>
    <row r="101" spans="1:18" x14ac:dyDescent="0.2">
      <c r="A101" s="25" t="s">
        <v>488</v>
      </c>
      <c r="B101" s="26" t="s">
        <v>489</v>
      </c>
      <c r="C101" s="25" t="s">
        <v>299</v>
      </c>
      <c r="D101" s="26" t="s">
        <v>299</v>
      </c>
      <c r="E101" s="25"/>
      <c r="F101" s="25"/>
      <c r="G101" s="25" t="s">
        <v>299</v>
      </c>
      <c r="H101" s="25"/>
      <c r="I101" s="25" t="s">
        <v>299</v>
      </c>
      <c r="J101" s="25"/>
      <c r="K101" s="25"/>
      <c r="L101" s="25"/>
      <c r="M101" s="25" t="s">
        <v>299</v>
      </c>
      <c r="N101" s="25"/>
      <c r="O101" s="25"/>
      <c r="P101" s="25"/>
      <c r="Q101" s="25"/>
      <c r="R101" s="25"/>
    </row>
  </sheetData>
  <autoFilter ref="A1:R101" xr:uid="{00000000-0009-0000-00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EB0B-B44D-1447-A41F-4421C37A56A6}">
  <dimension ref="A1:CX103"/>
  <sheetViews>
    <sheetView workbookViewId="0">
      <pane xSplit="2" ySplit="2" topLeftCell="CO73" activePane="bottomRight" state="frozen"/>
      <selection pane="topRight"/>
      <selection pane="bottomLeft"/>
      <selection pane="bottomRight" activeCell="CX3" sqref="CX3:CX104"/>
    </sheetView>
  </sheetViews>
  <sheetFormatPr baseColWidth="10" defaultColWidth="8.83203125" defaultRowHeight="15" x14ac:dyDescent="0.2"/>
  <cols>
    <col min="1" max="1" width="8" style="22" customWidth="1"/>
    <col min="2" max="101" width="28" style="22" customWidth="1"/>
    <col min="102" max="16384" width="8.83203125" style="22"/>
  </cols>
  <sheetData>
    <row r="1" spans="1:102" x14ac:dyDescent="0.2">
      <c r="A1" s="27" t="s">
        <v>490</v>
      </c>
      <c r="B1" s="27" t="s">
        <v>491</v>
      </c>
      <c r="C1" s="28" t="s">
        <v>492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8" t="s">
        <v>493</v>
      </c>
      <c r="Q1" s="29"/>
      <c r="R1" s="29"/>
      <c r="S1" s="29"/>
      <c r="T1" s="28" t="s">
        <v>494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8" t="s">
        <v>495</v>
      </c>
      <c r="AH1" s="29"/>
      <c r="AI1" s="29"/>
      <c r="AJ1" s="28" t="s">
        <v>496</v>
      </c>
      <c r="AK1" s="29"/>
      <c r="AL1" s="29"/>
      <c r="AM1" s="29"/>
      <c r="AN1" s="29"/>
      <c r="AO1" s="29"/>
      <c r="AP1" s="29"/>
      <c r="AQ1" s="28" t="s">
        <v>497</v>
      </c>
      <c r="AR1" s="29"/>
      <c r="AS1" s="29"/>
      <c r="AT1" s="29"/>
      <c r="AU1" s="29"/>
      <c r="AV1" s="29"/>
      <c r="AW1" s="29"/>
      <c r="AX1" s="29"/>
      <c r="AY1" s="29"/>
      <c r="AZ1" s="29"/>
      <c r="BA1" s="28" t="s">
        <v>498</v>
      </c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8" t="s">
        <v>499</v>
      </c>
      <c r="BR1" s="29"/>
      <c r="BS1" s="29"/>
      <c r="BT1" s="28" t="s">
        <v>500</v>
      </c>
      <c r="BU1" s="29"/>
      <c r="BV1" s="29"/>
      <c r="BW1" s="28" t="s">
        <v>263</v>
      </c>
      <c r="BX1" s="29"/>
      <c r="BY1" s="28" t="s">
        <v>135</v>
      </c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8" t="s">
        <v>265</v>
      </c>
      <c r="CV1" s="29"/>
      <c r="CW1" s="29"/>
    </row>
    <row r="2" spans="1:102" ht="32" x14ac:dyDescent="0.2">
      <c r="A2" s="29"/>
      <c r="B2" s="29"/>
      <c r="C2" s="30" t="s">
        <v>155</v>
      </c>
      <c r="D2" s="30" t="s">
        <v>156</v>
      </c>
      <c r="E2" s="30" t="s">
        <v>163</v>
      </c>
      <c r="F2" s="30" t="s">
        <v>164</v>
      </c>
      <c r="G2" s="30" t="s">
        <v>171</v>
      </c>
      <c r="H2" s="30" t="s">
        <v>172</v>
      </c>
      <c r="I2" s="30" t="s">
        <v>157</v>
      </c>
      <c r="J2" s="30" t="s">
        <v>194</v>
      </c>
      <c r="K2" s="30" t="s">
        <v>158</v>
      </c>
      <c r="L2" s="30" t="s">
        <v>159</v>
      </c>
      <c r="M2" s="30" t="s">
        <v>160</v>
      </c>
      <c r="N2" s="30" t="s">
        <v>161</v>
      </c>
      <c r="O2" s="30" t="s">
        <v>162</v>
      </c>
      <c r="P2" s="30" t="s">
        <v>173</v>
      </c>
      <c r="Q2" s="30" t="s">
        <v>168</v>
      </c>
      <c r="R2" s="30" t="s">
        <v>169</v>
      </c>
      <c r="S2" s="30" t="s">
        <v>174</v>
      </c>
      <c r="T2" s="30" t="s">
        <v>175</v>
      </c>
      <c r="U2" s="30" t="s">
        <v>176</v>
      </c>
      <c r="V2" s="30" t="s">
        <v>177</v>
      </c>
      <c r="W2" s="30" t="s">
        <v>178</v>
      </c>
      <c r="X2" s="30" t="s">
        <v>179</v>
      </c>
      <c r="Y2" s="30" t="s">
        <v>180</v>
      </c>
      <c r="Z2" s="30" t="s">
        <v>181</v>
      </c>
      <c r="AA2" s="30" t="s">
        <v>182</v>
      </c>
      <c r="AB2" s="30" t="s">
        <v>183</v>
      </c>
      <c r="AC2" s="30" t="s">
        <v>184</v>
      </c>
      <c r="AD2" s="30" t="s">
        <v>185</v>
      </c>
      <c r="AE2" s="30" t="s">
        <v>186</v>
      </c>
      <c r="AF2" s="30" t="s">
        <v>187</v>
      </c>
      <c r="AG2" s="30" t="s">
        <v>165</v>
      </c>
      <c r="AH2" s="30" t="s">
        <v>166</v>
      </c>
      <c r="AI2" s="30" t="s">
        <v>167</v>
      </c>
      <c r="AJ2" s="30" t="s">
        <v>198</v>
      </c>
      <c r="AK2" s="30" t="s">
        <v>199</v>
      </c>
      <c r="AL2" s="30" t="s">
        <v>206</v>
      </c>
      <c r="AM2" s="30" t="s">
        <v>200</v>
      </c>
      <c r="AN2" s="30" t="s">
        <v>207</v>
      </c>
      <c r="AO2" s="30" t="s">
        <v>203</v>
      </c>
      <c r="AP2" s="30" t="s">
        <v>205</v>
      </c>
      <c r="AQ2" s="30" t="s">
        <v>211</v>
      </c>
      <c r="AR2" s="30" t="s">
        <v>212</v>
      </c>
      <c r="AS2" s="30" t="s">
        <v>213</v>
      </c>
      <c r="AT2" s="30" t="s">
        <v>215</v>
      </c>
      <c r="AU2" s="30" t="s">
        <v>216</v>
      </c>
      <c r="AV2" s="30" t="s">
        <v>217</v>
      </c>
      <c r="AW2" s="30" t="s">
        <v>219</v>
      </c>
      <c r="AX2" s="30" t="s">
        <v>223</v>
      </c>
      <c r="AY2" s="30" t="s">
        <v>227</v>
      </c>
      <c r="AZ2" s="30" t="s">
        <v>232</v>
      </c>
      <c r="BA2" s="30" t="s">
        <v>234</v>
      </c>
      <c r="BB2" s="30" t="s">
        <v>235</v>
      </c>
      <c r="BC2" s="30" t="s">
        <v>236</v>
      </c>
      <c r="BD2" s="30" t="s">
        <v>237</v>
      </c>
      <c r="BE2" s="30" t="s">
        <v>238</v>
      </c>
      <c r="BF2" s="30" t="s">
        <v>240</v>
      </c>
      <c r="BG2" s="30" t="s">
        <v>241</v>
      </c>
      <c r="BH2" s="30" t="s">
        <v>242</v>
      </c>
      <c r="BI2" s="30" t="s">
        <v>243</v>
      </c>
      <c r="BJ2" s="30" t="s">
        <v>244</v>
      </c>
      <c r="BK2" s="30" t="s">
        <v>245</v>
      </c>
      <c r="BL2" s="30" t="s">
        <v>246</v>
      </c>
      <c r="BM2" s="30" t="s">
        <v>247</v>
      </c>
      <c r="BN2" s="30" t="s">
        <v>248</v>
      </c>
      <c r="BO2" s="30" t="s">
        <v>249</v>
      </c>
      <c r="BP2" s="30" t="s">
        <v>251</v>
      </c>
      <c r="BQ2" s="30" t="s">
        <v>208</v>
      </c>
      <c r="BR2" s="30" t="s">
        <v>209</v>
      </c>
      <c r="BS2" s="30" t="s">
        <v>210</v>
      </c>
      <c r="BT2" s="30" t="s">
        <v>188</v>
      </c>
      <c r="BU2" s="30" t="s">
        <v>189</v>
      </c>
      <c r="BV2" s="30" t="s">
        <v>190</v>
      </c>
      <c r="BW2" s="30" t="s">
        <v>192</v>
      </c>
      <c r="BX2" s="30" t="s">
        <v>193</v>
      </c>
      <c r="BY2" s="30" t="s">
        <v>239</v>
      </c>
      <c r="BZ2" s="30" t="s">
        <v>195</v>
      </c>
      <c r="CA2" s="30" t="s">
        <v>196</v>
      </c>
      <c r="CB2" s="30" t="s">
        <v>197</v>
      </c>
      <c r="CC2" s="30" t="s">
        <v>201</v>
      </c>
      <c r="CD2" s="30" t="s">
        <v>202</v>
      </c>
      <c r="CE2" s="30" t="s">
        <v>204</v>
      </c>
      <c r="CF2" s="30" t="s">
        <v>170</v>
      </c>
      <c r="CG2" s="30" t="s">
        <v>250</v>
      </c>
      <c r="CH2" s="30" t="s">
        <v>214</v>
      </c>
      <c r="CI2" s="30" t="s">
        <v>218</v>
      </c>
      <c r="CJ2" s="30" t="s">
        <v>220</v>
      </c>
      <c r="CK2" s="30" t="s">
        <v>221</v>
      </c>
      <c r="CL2" s="30" t="s">
        <v>222</v>
      </c>
      <c r="CM2" s="30" t="s">
        <v>224</v>
      </c>
      <c r="CN2" s="30" t="s">
        <v>225</v>
      </c>
      <c r="CO2" s="30" t="s">
        <v>226</v>
      </c>
      <c r="CP2" s="30" t="s">
        <v>228</v>
      </c>
      <c r="CQ2" s="30" t="s">
        <v>229</v>
      </c>
      <c r="CR2" s="30" t="s">
        <v>230</v>
      </c>
      <c r="CS2" s="30" t="s">
        <v>231</v>
      </c>
      <c r="CT2" s="30" t="s">
        <v>233</v>
      </c>
      <c r="CU2" s="30" t="s">
        <v>191</v>
      </c>
      <c r="CV2" s="30" t="s">
        <v>252</v>
      </c>
      <c r="CW2" s="30" t="s">
        <v>253</v>
      </c>
    </row>
    <row r="3" spans="1:102" ht="16" x14ac:dyDescent="0.2">
      <c r="A3" s="22" t="s">
        <v>297</v>
      </c>
      <c r="B3" s="31" t="s">
        <v>501</v>
      </c>
      <c r="D3" s="32" t="s">
        <v>299</v>
      </c>
      <c r="E3" s="32" t="s">
        <v>299</v>
      </c>
      <c r="G3" s="32" t="s">
        <v>299</v>
      </c>
      <c r="H3" s="32" t="s">
        <v>299</v>
      </c>
      <c r="I3" s="32" t="s">
        <v>299</v>
      </c>
      <c r="J3" s="32" t="s">
        <v>299</v>
      </c>
      <c r="K3" s="32" t="s">
        <v>299</v>
      </c>
      <c r="M3" s="32" t="s">
        <v>299</v>
      </c>
      <c r="P3" s="32" t="s">
        <v>299</v>
      </c>
      <c r="Q3" s="32" t="s">
        <v>299</v>
      </c>
      <c r="R3" s="32" t="s">
        <v>299</v>
      </c>
      <c r="S3" s="32" t="s">
        <v>299</v>
      </c>
      <c r="T3" s="32" t="s">
        <v>299</v>
      </c>
      <c r="U3" s="32" t="s">
        <v>299</v>
      </c>
      <c r="V3" s="32" t="s">
        <v>299</v>
      </c>
      <c r="W3" s="32" t="s">
        <v>299</v>
      </c>
      <c r="X3" s="32" t="s">
        <v>299</v>
      </c>
      <c r="Y3" s="32" t="s">
        <v>299</v>
      </c>
      <c r="AA3" s="32" t="s">
        <v>299</v>
      </c>
      <c r="AB3" s="32" t="s">
        <v>299</v>
      </c>
      <c r="AC3" s="32" t="s">
        <v>299</v>
      </c>
      <c r="AD3" s="32" t="s">
        <v>299</v>
      </c>
      <c r="AE3" s="32" t="s">
        <v>299</v>
      </c>
      <c r="AF3" s="32" t="s">
        <v>299</v>
      </c>
      <c r="AG3" s="32" t="s">
        <v>299</v>
      </c>
      <c r="AH3" s="32" t="s">
        <v>299</v>
      </c>
      <c r="AI3" s="32" t="s">
        <v>299</v>
      </c>
      <c r="AJ3" s="32" t="s">
        <v>299</v>
      </c>
      <c r="AP3" s="32" t="s">
        <v>299</v>
      </c>
      <c r="AY3" s="32" t="s">
        <v>299</v>
      </c>
      <c r="BQ3" s="32" t="s">
        <v>299</v>
      </c>
      <c r="BR3" s="32" t="s">
        <v>299</v>
      </c>
      <c r="BS3" s="32" t="s">
        <v>299</v>
      </c>
      <c r="BT3" s="32" t="s">
        <v>299</v>
      </c>
      <c r="BU3" s="32" t="s">
        <v>299</v>
      </c>
      <c r="BV3" s="32" t="s">
        <v>299</v>
      </c>
      <c r="BW3" s="32" t="s">
        <v>299</v>
      </c>
      <c r="BX3" s="32" t="s">
        <v>299</v>
      </c>
      <c r="CB3" s="32" t="s">
        <v>299</v>
      </c>
      <c r="CF3" s="32" t="s">
        <v>299</v>
      </c>
      <c r="CO3" s="32" t="s">
        <v>299</v>
      </c>
      <c r="CU3" s="32" t="s">
        <v>299</v>
      </c>
      <c r="CX3" s="22">
        <f>COUNTIF(C3:CW3, "FP")</f>
        <v>42</v>
      </c>
    </row>
    <row r="4" spans="1:102" ht="16" x14ac:dyDescent="0.2">
      <c r="A4" s="22" t="s">
        <v>300</v>
      </c>
      <c r="B4" s="31" t="s">
        <v>1</v>
      </c>
      <c r="CX4" s="22">
        <f t="shared" ref="CX4:CX67" si="0">COUNTIF(C4:CW4, "FP")</f>
        <v>0</v>
      </c>
    </row>
    <row r="5" spans="1:102" ht="16" x14ac:dyDescent="0.2">
      <c r="A5" s="22" t="s">
        <v>302</v>
      </c>
      <c r="B5" s="31" t="s">
        <v>303</v>
      </c>
      <c r="K5" s="32" t="s">
        <v>299</v>
      </c>
      <c r="M5" s="32" t="s">
        <v>299</v>
      </c>
      <c r="P5" s="32" t="s">
        <v>299</v>
      </c>
      <c r="AB5" s="32" t="s">
        <v>299</v>
      </c>
      <c r="AC5" s="32" t="s">
        <v>299</v>
      </c>
      <c r="AD5" s="32" t="s">
        <v>299</v>
      </c>
      <c r="BQ5" s="32" t="s">
        <v>299</v>
      </c>
      <c r="BR5" s="32" t="s">
        <v>299</v>
      </c>
      <c r="BS5" s="32" t="s">
        <v>299</v>
      </c>
      <c r="BV5" s="32" t="s">
        <v>299</v>
      </c>
      <c r="CX5" s="22">
        <f t="shared" si="0"/>
        <v>10</v>
      </c>
    </row>
    <row r="6" spans="1:102" ht="16" x14ac:dyDescent="0.2">
      <c r="A6" s="22" t="s">
        <v>304</v>
      </c>
      <c r="B6" s="31" t="s">
        <v>305</v>
      </c>
      <c r="E6" s="32" t="s">
        <v>299</v>
      </c>
      <c r="F6" s="32" t="s">
        <v>299</v>
      </c>
      <c r="M6" s="32" t="s">
        <v>299</v>
      </c>
      <c r="N6" s="32" t="s">
        <v>299</v>
      </c>
      <c r="P6" s="32" t="s">
        <v>299</v>
      </c>
      <c r="Q6" s="32" t="s">
        <v>299</v>
      </c>
      <c r="S6" s="32" t="s">
        <v>299</v>
      </c>
      <c r="Y6" s="32" t="s">
        <v>299</v>
      </c>
      <c r="AA6" s="32" t="s">
        <v>299</v>
      </c>
      <c r="AC6" s="32" t="s">
        <v>299</v>
      </c>
      <c r="CX6" s="22">
        <f t="shared" si="0"/>
        <v>10</v>
      </c>
    </row>
    <row r="7" spans="1:102" ht="16" x14ac:dyDescent="0.2">
      <c r="A7" s="22" t="s">
        <v>306</v>
      </c>
      <c r="B7" s="31" t="s">
        <v>307</v>
      </c>
      <c r="I7" s="32" t="s">
        <v>299</v>
      </c>
      <c r="P7" s="32" t="s">
        <v>299</v>
      </c>
      <c r="Y7" s="32" t="s">
        <v>299</v>
      </c>
      <c r="AA7" s="32" t="s">
        <v>299</v>
      </c>
      <c r="AB7" s="32" t="s">
        <v>299</v>
      </c>
      <c r="AC7" s="32" t="s">
        <v>299</v>
      </c>
      <c r="AD7" s="32" t="s">
        <v>299</v>
      </c>
      <c r="AF7" s="32" t="s">
        <v>299</v>
      </c>
      <c r="AG7" s="32" t="s">
        <v>299</v>
      </c>
      <c r="AH7" s="32" t="s">
        <v>299</v>
      </c>
      <c r="AY7" s="32" t="s">
        <v>299</v>
      </c>
      <c r="BV7" s="32" t="s">
        <v>299</v>
      </c>
      <c r="CO7" s="32" t="s">
        <v>299</v>
      </c>
      <c r="CX7" s="22">
        <f t="shared" si="0"/>
        <v>13</v>
      </c>
    </row>
    <row r="8" spans="1:102" ht="16" x14ac:dyDescent="0.2">
      <c r="A8" s="22" t="s">
        <v>308</v>
      </c>
      <c r="B8" s="31" t="s">
        <v>309</v>
      </c>
      <c r="F8" s="32" t="s">
        <v>299</v>
      </c>
      <c r="G8" s="32" t="s">
        <v>299</v>
      </c>
      <c r="M8" s="32" t="s">
        <v>299</v>
      </c>
      <c r="N8" s="32" t="s">
        <v>299</v>
      </c>
      <c r="P8" s="32" t="s">
        <v>299</v>
      </c>
      <c r="Q8" s="32" t="s">
        <v>299</v>
      </c>
      <c r="S8" s="32" t="s">
        <v>299</v>
      </c>
      <c r="X8" s="32" t="s">
        <v>299</v>
      </c>
      <c r="Y8" s="32" t="s">
        <v>299</v>
      </c>
      <c r="AA8" s="32" t="s">
        <v>299</v>
      </c>
      <c r="AC8" s="32" t="s">
        <v>299</v>
      </c>
      <c r="AD8" s="32" t="s">
        <v>299</v>
      </c>
      <c r="BU8" s="32" t="s">
        <v>299</v>
      </c>
      <c r="BV8" s="32" t="s">
        <v>299</v>
      </c>
      <c r="CX8" s="22">
        <f t="shared" si="0"/>
        <v>14</v>
      </c>
    </row>
    <row r="9" spans="1:102" ht="16" x14ac:dyDescent="0.2">
      <c r="A9" s="22" t="s">
        <v>310</v>
      </c>
      <c r="B9" s="31" t="s">
        <v>311</v>
      </c>
      <c r="G9" s="32" t="s">
        <v>299</v>
      </c>
      <c r="I9" s="32" t="s">
        <v>299</v>
      </c>
      <c r="M9" s="32" t="s">
        <v>299</v>
      </c>
      <c r="N9" s="32" t="s">
        <v>299</v>
      </c>
      <c r="P9" s="32" t="s">
        <v>299</v>
      </c>
      <c r="Q9" s="32" t="s">
        <v>299</v>
      </c>
      <c r="S9" s="32" t="s">
        <v>299</v>
      </c>
      <c r="Y9" s="32" t="s">
        <v>299</v>
      </c>
      <c r="Z9" s="32" t="s">
        <v>299</v>
      </c>
      <c r="AA9" s="32" t="s">
        <v>299</v>
      </c>
      <c r="AB9" s="32" t="s">
        <v>299</v>
      </c>
      <c r="AC9" s="32" t="s">
        <v>299</v>
      </c>
      <c r="AD9" s="32" t="s">
        <v>299</v>
      </c>
      <c r="AI9" s="32" t="s">
        <v>299</v>
      </c>
      <c r="BQ9" s="32" t="s">
        <v>299</v>
      </c>
      <c r="BR9" s="32" t="s">
        <v>299</v>
      </c>
      <c r="BU9" s="32" t="s">
        <v>299</v>
      </c>
      <c r="BV9" s="32" t="s">
        <v>299</v>
      </c>
      <c r="CX9" s="22">
        <f t="shared" si="0"/>
        <v>18</v>
      </c>
    </row>
    <row r="10" spans="1:102" ht="16" x14ac:dyDescent="0.2">
      <c r="A10" s="22" t="s">
        <v>312</v>
      </c>
      <c r="B10" s="31" t="s">
        <v>325</v>
      </c>
      <c r="E10" s="32" t="s">
        <v>299</v>
      </c>
      <c r="G10" s="32" t="s">
        <v>299</v>
      </c>
      <c r="H10" s="32" t="s">
        <v>299</v>
      </c>
      <c r="I10" s="32" t="s">
        <v>299</v>
      </c>
      <c r="K10" s="32" t="s">
        <v>299</v>
      </c>
      <c r="M10" s="32" t="s">
        <v>299</v>
      </c>
      <c r="P10" s="32" t="s">
        <v>299</v>
      </c>
      <c r="Q10" s="32" t="s">
        <v>299</v>
      </c>
      <c r="S10" s="32" t="s">
        <v>299</v>
      </c>
      <c r="X10" s="32" t="s">
        <v>299</v>
      </c>
      <c r="Y10" s="32" t="s">
        <v>299</v>
      </c>
      <c r="Z10" s="32" t="s">
        <v>299</v>
      </c>
      <c r="AA10" s="32" t="s">
        <v>299</v>
      </c>
      <c r="AB10" s="32" t="s">
        <v>299</v>
      </c>
      <c r="AC10" s="32" t="s">
        <v>299</v>
      </c>
      <c r="AD10" s="32" t="s">
        <v>299</v>
      </c>
      <c r="AE10" s="32" t="s">
        <v>299</v>
      </c>
      <c r="AG10" s="32" t="s">
        <v>299</v>
      </c>
      <c r="AH10" s="32" t="s">
        <v>299</v>
      </c>
      <c r="BQ10" s="32" t="s">
        <v>299</v>
      </c>
      <c r="BR10" s="32" t="s">
        <v>299</v>
      </c>
      <c r="BS10" s="32" t="s">
        <v>299</v>
      </c>
      <c r="BU10" s="32" t="s">
        <v>299</v>
      </c>
      <c r="BV10" s="32" t="s">
        <v>299</v>
      </c>
      <c r="CX10" s="22">
        <f t="shared" si="0"/>
        <v>24</v>
      </c>
    </row>
    <row r="11" spans="1:102" ht="16" x14ac:dyDescent="0.2">
      <c r="A11" s="22" t="s">
        <v>314</v>
      </c>
      <c r="B11" s="31" t="s">
        <v>315</v>
      </c>
      <c r="G11" s="32" t="s">
        <v>299</v>
      </c>
      <c r="M11" s="32" t="s">
        <v>299</v>
      </c>
      <c r="N11" s="32" t="s">
        <v>299</v>
      </c>
      <c r="P11" s="32" t="s">
        <v>299</v>
      </c>
      <c r="S11" s="32" t="s">
        <v>299</v>
      </c>
      <c r="AD11" s="32" t="s">
        <v>299</v>
      </c>
      <c r="AG11" s="32" t="s">
        <v>299</v>
      </c>
      <c r="AH11" s="32" t="s">
        <v>299</v>
      </c>
      <c r="BQ11" s="32" t="s">
        <v>299</v>
      </c>
      <c r="BS11" s="32" t="s">
        <v>299</v>
      </c>
      <c r="BU11" s="32" t="s">
        <v>299</v>
      </c>
      <c r="CX11" s="22">
        <f t="shared" si="0"/>
        <v>11</v>
      </c>
    </row>
    <row r="12" spans="1:102" ht="16" x14ac:dyDescent="0.2">
      <c r="A12" s="22" t="s">
        <v>316</v>
      </c>
      <c r="B12" s="31" t="s">
        <v>502</v>
      </c>
      <c r="I12" s="32" t="s">
        <v>299</v>
      </c>
      <c r="P12" s="32" t="s">
        <v>299</v>
      </c>
      <c r="S12" s="32" t="s">
        <v>299</v>
      </c>
      <c r="Y12" s="32" t="s">
        <v>299</v>
      </c>
      <c r="AA12" s="32" t="s">
        <v>299</v>
      </c>
      <c r="AB12" s="32" t="s">
        <v>299</v>
      </c>
      <c r="AC12" s="32" t="s">
        <v>299</v>
      </c>
      <c r="AD12" s="32" t="s">
        <v>299</v>
      </c>
      <c r="AF12" s="32" t="s">
        <v>299</v>
      </c>
      <c r="AG12" s="32" t="s">
        <v>299</v>
      </c>
      <c r="AH12" s="32" t="s">
        <v>299</v>
      </c>
      <c r="AY12" s="32" t="s">
        <v>299</v>
      </c>
      <c r="BV12" s="32" t="s">
        <v>299</v>
      </c>
      <c r="CO12" s="32" t="s">
        <v>299</v>
      </c>
      <c r="CX12" s="22">
        <f t="shared" si="0"/>
        <v>14</v>
      </c>
    </row>
    <row r="13" spans="1:102" ht="16" x14ac:dyDescent="0.2">
      <c r="A13" s="22" t="s">
        <v>318</v>
      </c>
      <c r="B13" s="31" t="s">
        <v>319</v>
      </c>
      <c r="D13" s="32" t="s">
        <v>299</v>
      </c>
      <c r="E13" s="32" t="s">
        <v>299</v>
      </c>
      <c r="F13" s="32" t="s">
        <v>299</v>
      </c>
      <c r="G13" s="32" t="s">
        <v>299</v>
      </c>
      <c r="H13" s="32" t="s">
        <v>299</v>
      </c>
      <c r="I13" s="32" t="s">
        <v>299</v>
      </c>
      <c r="J13" s="32" t="s">
        <v>299</v>
      </c>
      <c r="K13" s="32" t="s">
        <v>299</v>
      </c>
      <c r="M13" s="32" t="s">
        <v>299</v>
      </c>
      <c r="N13" s="32" t="s">
        <v>299</v>
      </c>
      <c r="P13" s="32" t="s">
        <v>299</v>
      </c>
      <c r="Q13" s="32" t="s">
        <v>299</v>
      </c>
      <c r="R13" s="32" t="s">
        <v>299</v>
      </c>
      <c r="S13" s="32" t="s">
        <v>299</v>
      </c>
      <c r="T13" s="32" t="s">
        <v>299</v>
      </c>
      <c r="W13" s="32" t="s">
        <v>299</v>
      </c>
      <c r="X13" s="32" t="s">
        <v>299</v>
      </c>
      <c r="Y13" s="32" t="s">
        <v>299</v>
      </c>
      <c r="Z13" s="32" t="s">
        <v>299</v>
      </c>
      <c r="AA13" s="32" t="s">
        <v>299</v>
      </c>
      <c r="AB13" s="32" t="s">
        <v>299</v>
      </c>
      <c r="AC13" s="32" t="s">
        <v>299</v>
      </c>
      <c r="AD13" s="32" t="s">
        <v>299</v>
      </c>
      <c r="AG13" s="32" t="s">
        <v>299</v>
      </c>
      <c r="AH13" s="32" t="s">
        <v>299</v>
      </c>
      <c r="AI13" s="32" t="s">
        <v>299</v>
      </c>
      <c r="AT13" s="32" t="s">
        <v>299</v>
      </c>
      <c r="AY13" s="32" t="s">
        <v>299</v>
      </c>
      <c r="BQ13" s="32" t="s">
        <v>299</v>
      </c>
      <c r="BR13" s="32" t="s">
        <v>299</v>
      </c>
      <c r="BS13" s="32" t="s">
        <v>299</v>
      </c>
      <c r="BU13" s="32" t="s">
        <v>299</v>
      </c>
      <c r="BV13" s="32" t="s">
        <v>299</v>
      </c>
      <c r="CH13" s="32" t="s">
        <v>299</v>
      </c>
      <c r="CO13" s="32" t="s">
        <v>299</v>
      </c>
      <c r="CX13" s="22">
        <f t="shared" si="0"/>
        <v>35</v>
      </c>
    </row>
    <row r="14" spans="1:102" ht="16" x14ac:dyDescent="0.2">
      <c r="A14" s="22" t="s">
        <v>320</v>
      </c>
      <c r="B14" s="31" t="s">
        <v>321</v>
      </c>
      <c r="I14" s="32" t="s">
        <v>299</v>
      </c>
      <c r="M14" s="32" t="s">
        <v>299</v>
      </c>
      <c r="P14" s="32" t="s">
        <v>299</v>
      </c>
      <c r="S14" s="32" t="s">
        <v>299</v>
      </c>
      <c r="AB14" s="32" t="s">
        <v>299</v>
      </c>
      <c r="AC14" s="32" t="s">
        <v>299</v>
      </c>
      <c r="AD14" s="32" t="s">
        <v>299</v>
      </c>
      <c r="AE14" s="32" t="s">
        <v>299</v>
      </c>
      <c r="AF14" s="32" t="s">
        <v>299</v>
      </c>
      <c r="BQ14" s="32" t="s">
        <v>299</v>
      </c>
      <c r="BR14" s="32" t="s">
        <v>299</v>
      </c>
      <c r="BS14" s="32" t="s">
        <v>299</v>
      </c>
      <c r="BU14" s="32" t="s">
        <v>299</v>
      </c>
      <c r="BV14" s="32" t="s">
        <v>299</v>
      </c>
      <c r="CX14" s="22">
        <f t="shared" si="0"/>
        <v>14</v>
      </c>
    </row>
    <row r="15" spans="1:102" ht="16" x14ac:dyDescent="0.2">
      <c r="A15" s="22" t="s">
        <v>322</v>
      </c>
      <c r="B15" s="31" t="s">
        <v>323</v>
      </c>
      <c r="G15" s="32" t="s">
        <v>299</v>
      </c>
      <c r="H15" s="32" t="s">
        <v>299</v>
      </c>
      <c r="I15" s="32" t="s">
        <v>299</v>
      </c>
      <c r="J15" s="32" t="s">
        <v>299</v>
      </c>
      <c r="M15" s="32" t="s">
        <v>299</v>
      </c>
      <c r="P15" s="32" t="s">
        <v>299</v>
      </c>
      <c r="Q15" s="32" t="s">
        <v>299</v>
      </c>
      <c r="R15" s="32" t="s">
        <v>299</v>
      </c>
      <c r="S15" s="32" t="s">
        <v>299</v>
      </c>
      <c r="T15" s="32" t="s">
        <v>299</v>
      </c>
      <c r="U15" s="32" t="s">
        <v>299</v>
      </c>
      <c r="V15" s="32" t="s">
        <v>299</v>
      </c>
      <c r="W15" s="32" t="s">
        <v>299</v>
      </c>
      <c r="X15" s="32" t="s">
        <v>299</v>
      </c>
      <c r="Y15" s="32" t="s">
        <v>299</v>
      </c>
      <c r="Z15" s="32" t="s">
        <v>299</v>
      </c>
      <c r="AA15" s="32" t="s">
        <v>299</v>
      </c>
      <c r="AB15" s="32" t="s">
        <v>299</v>
      </c>
      <c r="AC15" s="32" t="s">
        <v>299</v>
      </c>
      <c r="AD15" s="32" t="s">
        <v>299</v>
      </c>
      <c r="AE15" s="32" t="s">
        <v>299</v>
      </c>
      <c r="AF15" s="32" t="s">
        <v>299</v>
      </c>
      <c r="AG15" s="32" t="s">
        <v>299</v>
      </c>
      <c r="AH15" s="32" t="s">
        <v>299</v>
      </c>
      <c r="AI15" s="32" t="s">
        <v>299</v>
      </c>
      <c r="AJ15" s="32" t="s">
        <v>299</v>
      </c>
      <c r="AP15" s="32" t="s">
        <v>299</v>
      </c>
      <c r="AY15" s="32" t="s">
        <v>299</v>
      </c>
      <c r="BQ15" s="32" t="s">
        <v>299</v>
      </c>
      <c r="BR15" s="32" t="s">
        <v>299</v>
      </c>
      <c r="BS15" s="32" t="s">
        <v>299</v>
      </c>
      <c r="BT15" s="32" t="s">
        <v>299</v>
      </c>
      <c r="BU15" s="32" t="s">
        <v>299</v>
      </c>
      <c r="BV15" s="32" t="s">
        <v>299</v>
      </c>
      <c r="BW15" s="32" t="s">
        <v>299</v>
      </c>
      <c r="BX15" s="32" t="s">
        <v>299</v>
      </c>
      <c r="CB15" s="32" t="s">
        <v>299</v>
      </c>
      <c r="CF15" s="32" t="s">
        <v>299</v>
      </c>
      <c r="CO15" s="32" t="s">
        <v>299</v>
      </c>
      <c r="CU15" s="32" t="s">
        <v>299</v>
      </c>
      <c r="CX15" s="22">
        <f t="shared" si="0"/>
        <v>40</v>
      </c>
    </row>
    <row r="16" spans="1:102" ht="16" x14ac:dyDescent="0.2">
      <c r="A16" s="22" t="s">
        <v>324</v>
      </c>
      <c r="B16" s="31" t="s">
        <v>325</v>
      </c>
      <c r="C16" s="32" t="s">
        <v>299</v>
      </c>
      <c r="D16" s="32" t="s">
        <v>299</v>
      </c>
      <c r="E16" s="32" t="s">
        <v>299</v>
      </c>
      <c r="F16" s="32" t="s">
        <v>299</v>
      </c>
      <c r="G16" s="32" t="s">
        <v>299</v>
      </c>
      <c r="H16" s="32" t="s">
        <v>299</v>
      </c>
      <c r="I16" s="32" t="s">
        <v>299</v>
      </c>
      <c r="J16" s="32" t="s">
        <v>299</v>
      </c>
      <c r="K16" s="32" t="s">
        <v>299</v>
      </c>
      <c r="L16" s="32" t="s">
        <v>299</v>
      </c>
      <c r="M16" s="32" t="s">
        <v>299</v>
      </c>
      <c r="N16" s="32" t="s">
        <v>299</v>
      </c>
      <c r="O16" s="32" t="s">
        <v>299</v>
      </c>
      <c r="P16" s="32" t="s">
        <v>299</v>
      </c>
      <c r="Q16" s="32" t="s">
        <v>299</v>
      </c>
      <c r="S16" s="32" t="s">
        <v>299</v>
      </c>
      <c r="T16" s="32" t="s">
        <v>299</v>
      </c>
      <c r="W16" s="32" t="s">
        <v>299</v>
      </c>
      <c r="X16" s="32" t="s">
        <v>299</v>
      </c>
      <c r="Y16" s="32" t="s">
        <v>299</v>
      </c>
      <c r="Z16" s="32" t="s">
        <v>299</v>
      </c>
      <c r="AA16" s="32" t="s">
        <v>299</v>
      </c>
      <c r="AB16" s="32" t="s">
        <v>299</v>
      </c>
      <c r="AC16" s="32" t="s">
        <v>299</v>
      </c>
      <c r="AD16" s="32" t="s">
        <v>299</v>
      </c>
      <c r="AE16" s="32" t="s">
        <v>299</v>
      </c>
      <c r="AF16" s="32" t="s">
        <v>299</v>
      </c>
      <c r="AG16" s="32" t="s">
        <v>299</v>
      </c>
      <c r="AH16" s="32" t="s">
        <v>299</v>
      </c>
      <c r="AI16" s="32" t="s">
        <v>299</v>
      </c>
      <c r="AY16" s="32" t="s">
        <v>299</v>
      </c>
      <c r="BQ16" s="32" t="s">
        <v>299</v>
      </c>
      <c r="BR16" s="32" t="s">
        <v>299</v>
      </c>
      <c r="BS16" s="32" t="s">
        <v>299</v>
      </c>
      <c r="BT16" s="32" t="s">
        <v>299</v>
      </c>
      <c r="BU16" s="32" t="s">
        <v>299</v>
      </c>
      <c r="BV16" s="32" t="s">
        <v>299</v>
      </c>
      <c r="CO16" s="32" t="s">
        <v>299</v>
      </c>
      <c r="CX16" s="22">
        <f t="shared" si="0"/>
        <v>38</v>
      </c>
    </row>
    <row r="17" spans="1:102" ht="16" x14ac:dyDescent="0.2">
      <c r="A17" s="22" t="s">
        <v>326</v>
      </c>
      <c r="B17" s="31" t="s">
        <v>303</v>
      </c>
      <c r="D17" s="32" t="s">
        <v>299</v>
      </c>
      <c r="E17" s="32" t="s">
        <v>299</v>
      </c>
      <c r="G17" s="32" t="s">
        <v>299</v>
      </c>
      <c r="I17" s="32" t="s">
        <v>299</v>
      </c>
      <c r="J17" s="32" t="s">
        <v>299</v>
      </c>
      <c r="K17" s="32" t="s">
        <v>299</v>
      </c>
      <c r="M17" s="32" t="s">
        <v>299</v>
      </c>
      <c r="N17" s="32" t="s">
        <v>299</v>
      </c>
      <c r="P17" s="32" t="s">
        <v>299</v>
      </c>
      <c r="Q17" s="32" t="s">
        <v>299</v>
      </c>
      <c r="R17" s="32" t="s">
        <v>299</v>
      </c>
      <c r="S17" s="32" t="s">
        <v>299</v>
      </c>
      <c r="T17" s="32" t="s">
        <v>299</v>
      </c>
      <c r="W17" s="32" t="s">
        <v>299</v>
      </c>
      <c r="X17" s="32" t="s">
        <v>299</v>
      </c>
      <c r="Y17" s="32" t="s">
        <v>299</v>
      </c>
      <c r="AA17" s="32" t="s">
        <v>299</v>
      </c>
      <c r="AB17" s="32" t="s">
        <v>299</v>
      </c>
      <c r="AC17" s="32" t="s">
        <v>299</v>
      </c>
      <c r="AD17" s="32" t="s">
        <v>299</v>
      </c>
      <c r="AG17" s="32" t="s">
        <v>299</v>
      </c>
      <c r="AH17" s="32" t="s">
        <v>299</v>
      </c>
      <c r="AI17" s="32" t="s">
        <v>299</v>
      </c>
      <c r="AY17" s="32" t="s">
        <v>299</v>
      </c>
      <c r="BQ17" s="32" t="s">
        <v>299</v>
      </c>
      <c r="BR17" s="32" t="s">
        <v>299</v>
      </c>
      <c r="BS17" s="32" t="s">
        <v>299</v>
      </c>
      <c r="BT17" s="32" t="s">
        <v>299</v>
      </c>
      <c r="BU17" s="32" t="s">
        <v>299</v>
      </c>
      <c r="BV17" s="32" t="s">
        <v>299</v>
      </c>
      <c r="CO17" s="32" t="s">
        <v>299</v>
      </c>
      <c r="CX17" s="22">
        <f t="shared" si="0"/>
        <v>31</v>
      </c>
    </row>
    <row r="18" spans="1:102" ht="16" x14ac:dyDescent="0.2">
      <c r="A18" s="22" t="s">
        <v>328</v>
      </c>
      <c r="B18" s="31" t="s">
        <v>503</v>
      </c>
      <c r="I18" s="32" t="s">
        <v>299</v>
      </c>
      <c r="M18" s="32" t="s">
        <v>299</v>
      </c>
      <c r="P18" s="32" t="s">
        <v>299</v>
      </c>
      <c r="Q18" s="32" t="s">
        <v>299</v>
      </c>
      <c r="S18" s="32" t="s">
        <v>299</v>
      </c>
      <c r="AD18" s="32" t="s">
        <v>299</v>
      </c>
      <c r="AF18" s="32" t="s">
        <v>299</v>
      </c>
      <c r="AH18" s="32" t="s">
        <v>299</v>
      </c>
      <c r="BU18" s="32" t="s">
        <v>299</v>
      </c>
      <c r="BV18" s="32" t="s">
        <v>299</v>
      </c>
      <c r="CX18" s="22">
        <f t="shared" si="0"/>
        <v>10</v>
      </c>
    </row>
    <row r="19" spans="1:102" ht="16" x14ac:dyDescent="0.2">
      <c r="A19" s="22" t="s">
        <v>330</v>
      </c>
      <c r="B19" s="31" t="s">
        <v>504</v>
      </c>
      <c r="D19" s="32" t="s">
        <v>299</v>
      </c>
      <c r="G19" s="32" t="s">
        <v>299</v>
      </c>
      <c r="H19" s="32" t="s">
        <v>299</v>
      </c>
      <c r="I19" s="32" t="s">
        <v>299</v>
      </c>
      <c r="M19" s="32" t="s">
        <v>299</v>
      </c>
      <c r="P19" s="32" t="s">
        <v>299</v>
      </c>
      <c r="Q19" s="32" t="s">
        <v>299</v>
      </c>
      <c r="S19" s="32" t="s">
        <v>299</v>
      </c>
      <c r="Y19" s="32" t="s">
        <v>299</v>
      </c>
      <c r="AA19" s="32" t="s">
        <v>299</v>
      </c>
      <c r="AB19" s="32" t="s">
        <v>299</v>
      </c>
      <c r="AC19" s="32" t="s">
        <v>299</v>
      </c>
      <c r="AD19" s="32" t="s">
        <v>299</v>
      </c>
      <c r="AE19" s="32" t="s">
        <v>299</v>
      </c>
      <c r="BU19" s="32" t="s">
        <v>299</v>
      </c>
      <c r="CX19" s="22">
        <f t="shared" si="0"/>
        <v>15</v>
      </c>
    </row>
    <row r="20" spans="1:102" ht="16" x14ac:dyDescent="0.2">
      <c r="A20" s="22" t="s">
        <v>332</v>
      </c>
      <c r="B20" s="31" t="s">
        <v>505</v>
      </c>
      <c r="E20" s="32" t="s">
        <v>299</v>
      </c>
      <c r="F20" s="32" t="s">
        <v>299</v>
      </c>
      <c r="G20" s="32" t="s">
        <v>299</v>
      </c>
      <c r="H20" s="32" t="s">
        <v>299</v>
      </c>
      <c r="I20" s="32" t="s">
        <v>299</v>
      </c>
      <c r="J20" s="32" t="s">
        <v>299</v>
      </c>
      <c r="M20" s="32" t="s">
        <v>299</v>
      </c>
      <c r="N20" s="32" t="s">
        <v>299</v>
      </c>
      <c r="P20" s="32" t="s">
        <v>299</v>
      </c>
      <c r="S20" s="32" t="s">
        <v>299</v>
      </c>
      <c r="Y20" s="32" t="s">
        <v>299</v>
      </c>
      <c r="AA20" s="32" t="s">
        <v>299</v>
      </c>
      <c r="AC20" s="32" t="s">
        <v>299</v>
      </c>
      <c r="AD20" s="32" t="s">
        <v>299</v>
      </c>
      <c r="AE20" s="32" t="s">
        <v>299</v>
      </c>
      <c r="AF20" s="32" t="s">
        <v>299</v>
      </c>
      <c r="AI20" s="32" t="s">
        <v>299</v>
      </c>
      <c r="BU20" s="32" t="s">
        <v>299</v>
      </c>
      <c r="BV20" s="32" t="s">
        <v>299</v>
      </c>
      <c r="CX20" s="22">
        <f t="shared" si="0"/>
        <v>19</v>
      </c>
    </row>
    <row r="21" spans="1:102" ht="16" x14ac:dyDescent="0.2">
      <c r="A21" s="22" t="s">
        <v>334</v>
      </c>
      <c r="B21" s="31" t="s">
        <v>506</v>
      </c>
      <c r="F21" s="32" t="s">
        <v>299</v>
      </c>
      <c r="M21" s="32" t="s">
        <v>299</v>
      </c>
      <c r="N21" s="32" t="s">
        <v>299</v>
      </c>
      <c r="S21" s="32" t="s">
        <v>299</v>
      </c>
      <c r="AC21" s="32" t="s">
        <v>299</v>
      </c>
      <c r="AD21" s="32" t="s">
        <v>299</v>
      </c>
      <c r="AF21" s="32" t="s">
        <v>299</v>
      </c>
      <c r="BV21" s="32" t="s">
        <v>299</v>
      </c>
      <c r="CX21" s="22">
        <f t="shared" si="0"/>
        <v>8</v>
      </c>
    </row>
    <row r="22" spans="1:102" ht="16" x14ac:dyDescent="0.2">
      <c r="A22" s="22" t="s">
        <v>336</v>
      </c>
      <c r="B22" s="31" t="s">
        <v>337</v>
      </c>
      <c r="M22" s="32" t="s">
        <v>299</v>
      </c>
      <c r="P22" s="32" t="s">
        <v>299</v>
      </c>
      <c r="S22" s="32" t="s">
        <v>299</v>
      </c>
      <c r="AC22" s="32" t="s">
        <v>299</v>
      </c>
      <c r="AD22" s="32" t="s">
        <v>299</v>
      </c>
      <c r="AI22" s="32" t="s">
        <v>299</v>
      </c>
      <c r="BU22" s="32" t="s">
        <v>299</v>
      </c>
      <c r="BV22" s="32" t="s">
        <v>299</v>
      </c>
      <c r="CX22" s="22">
        <f t="shared" si="0"/>
        <v>8</v>
      </c>
    </row>
    <row r="23" spans="1:102" ht="16" x14ac:dyDescent="0.2">
      <c r="A23" s="22" t="s">
        <v>338</v>
      </c>
      <c r="B23" s="31" t="s">
        <v>339</v>
      </c>
      <c r="E23" s="32" t="s">
        <v>299</v>
      </c>
      <c r="F23" s="32" t="s">
        <v>299</v>
      </c>
      <c r="G23" s="32" t="s">
        <v>299</v>
      </c>
      <c r="H23" s="32" t="s">
        <v>299</v>
      </c>
      <c r="I23" s="32" t="s">
        <v>299</v>
      </c>
      <c r="J23" s="32" t="s">
        <v>299</v>
      </c>
      <c r="K23" s="32" t="s">
        <v>299</v>
      </c>
      <c r="M23" s="32" t="s">
        <v>299</v>
      </c>
      <c r="N23" s="32" t="s">
        <v>299</v>
      </c>
      <c r="P23" s="32" t="s">
        <v>299</v>
      </c>
      <c r="Q23" s="32" t="s">
        <v>299</v>
      </c>
      <c r="R23" s="32" t="s">
        <v>299</v>
      </c>
      <c r="S23" s="32" t="s">
        <v>299</v>
      </c>
      <c r="X23" s="32" t="s">
        <v>299</v>
      </c>
      <c r="Y23" s="32" t="s">
        <v>299</v>
      </c>
      <c r="AA23" s="32" t="s">
        <v>299</v>
      </c>
      <c r="AB23" s="32" t="s">
        <v>299</v>
      </c>
      <c r="AC23" s="32" t="s">
        <v>299</v>
      </c>
      <c r="AD23" s="32" t="s">
        <v>299</v>
      </c>
      <c r="AH23" s="32" t="s">
        <v>299</v>
      </c>
      <c r="AI23" s="32" t="s">
        <v>299</v>
      </c>
      <c r="BQ23" s="32" t="s">
        <v>299</v>
      </c>
      <c r="BR23" s="32" t="s">
        <v>299</v>
      </c>
      <c r="BS23" s="32" t="s">
        <v>299</v>
      </c>
      <c r="BT23" s="32" t="s">
        <v>299</v>
      </c>
      <c r="BU23" s="32" t="s">
        <v>299</v>
      </c>
      <c r="BV23" s="32" t="s">
        <v>299</v>
      </c>
      <c r="CX23" s="22">
        <f t="shared" si="0"/>
        <v>27</v>
      </c>
    </row>
    <row r="24" spans="1:102" ht="16" x14ac:dyDescent="0.2">
      <c r="A24" s="22" t="s">
        <v>340</v>
      </c>
      <c r="B24" s="31" t="s">
        <v>341</v>
      </c>
      <c r="C24" s="32" t="s">
        <v>299</v>
      </c>
      <c r="D24" s="32" t="s">
        <v>299</v>
      </c>
      <c r="E24" s="32" t="s">
        <v>299</v>
      </c>
      <c r="F24" s="32" t="s">
        <v>299</v>
      </c>
      <c r="G24" s="32" t="s">
        <v>299</v>
      </c>
      <c r="H24" s="32" t="s">
        <v>299</v>
      </c>
      <c r="I24" s="32" t="s">
        <v>299</v>
      </c>
      <c r="J24" s="32" t="s">
        <v>299</v>
      </c>
      <c r="K24" s="32" t="s">
        <v>299</v>
      </c>
      <c r="L24" s="32" t="s">
        <v>299</v>
      </c>
      <c r="M24" s="32" t="s">
        <v>299</v>
      </c>
      <c r="N24" s="32" t="s">
        <v>299</v>
      </c>
      <c r="O24" s="32" t="s">
        <v>299</v>
      </c>
      <c r="P24" s="32" t="s">
        <v>299</v>
      </c>
      <c r="Q24" s="32" t="s">
        <v>299</v>
      </c>
      <c r="R24" s="32" t="s">
        <v>299</v>
      </c>
      <c r="S24" s="32" t="s">
        <v>299</v>
      </c>
      <c r="T24" s="32" t="s">
        <v>299</v>
      </c>
      <c r="U24" s="32" t="s">
        <v>299</v>
      </c>
      <c r="V24" s="32" t="s">
        <v>299</v>
      </c>
      <c r="W24" s="32" t="s">
        <v>299</v>
      </c>
      <c r="X24" s="32" t="s">
        <v>299</v>
      </c>
      <c r="Y24" s="32" t="s">
        <v>299</v>
      </c>
      <c r="Z24" s="32" t="s">
        <v>299</v>
      </c>
      <c r="AA24" s="32" t="s">
        <v>299</v>
      </c>
      <c r="AB24" s="32" t="s">
        <v>299</v>
      </c>
      <c r="AC24" s="32" t="s">
        <v>299</v>
      </c>
      <c r="AD24" s="32" t="s">
        <v>299</v>
      </c>
      <c r="AE24" s="32" t="s">
        <v>299</v>
      </c>
      <c r="AF24" s="32" t="s">
        <v>299</v>
      </c>
      <c r="AG24" s="32" t="s">
        <v>299</v>
      </c>
      <c r="AH24" s="32" t="s">
        <v>299</v>
      </c>
      <c r="AI24" s="32" t="s">
        <v>299</v>
      </c>
      <c r="AJ24" s="32" t="s">
        <v>299</v>
      </c>
      <c r="AK24" s="32" t="s">
        <v>299</v>
      </c>
      <c r="AL24" s="32" t="s">
        <v>299</v>
      </c>
      <c r="AM24" s="32" t="s">
        <v>299</v>
      </c>
      <c r="AO24" s="32" t="s">
        <v>299</v>
      </c>
      <c r="AP24" s="32" t="s">
        <v>299</v>
      </c>
      <c r="AT24" s="32" t="s">
        <v>299</v>
      </c>
      <c r="AY24" s="32" t="s">
        <v>299</v>
      </c>
      <c r="BA24" s="32" t="s">
        <v>299</v>
      </c>
      <c r="BB24" s="32" t="s">
        <v>299</v>
      </c>
      <c r="BL24" s="32" t="s">
        <v>299</v>
      </c>
      <c r="BM24" s="32" t="s">
        <v>299</v>
      </c>
      <c r="BN24" s="32" t="s">
        <v>299</v>
      </c>
      <c r="BO24" s="32" t="s">
        <v>299</v>
      </c>
      <c r="BP24" s="32" t="s">
        <v>299</v>
      </c>
      <c r="BQ24" s="32" t="s">
        <v>299</v>
      </c>
      <c r="BR24" s="32" t="s">
        <v>299</v>
      </c>
      <c r="BS24" s="32" t="s">
        <v>299</v>
      </c>
      <c r="BT24" s="32" t="s">
        <v>299</v>
      </c>
      <c r="BU24" s="32" t="s">
        <v>299</v>
      </c>
      <c r="BV24" s="32" t="s">
        <v>299</v>
      </c>
      <c r="BW24" s="32" t="s">
        <v>299</v>
      </c>
      <c r="BX24" s="32" t="s">
        <v>299</v>
      </c>
      <c r="BY24" s="32" t="s">
        <v>299</v>
      </c>
      <c r="BZ24" s="32" t="s">
        <v>299</v>
      </c>
      <c r="CA24" s="32" t="s">
        <v>299</v>
      </c>
      <c r="CB24" s="32" t="s">
        <v>299</v>
      </c>
      <c r="CC24" s="32" t="s">
        <v>299</v>
      </c>
      <c r="CD24" s="32" t="s">
        <v>299</v>
      </c>
      <c r="CE24" s="32" t="s">
        <v>299</v>
      </c>
      <c r="CG24" s="32" t="s">
        <v>299</v>
      </c>
      <c r="CH24" s="32" t="s">
        <v>299</v>
      </c>
      <c r="CO24" s="32" t="s">
        <v>299</v>
      </c>
      <c r="CU24" s="32" t="s">
        <v>299</v>
      </c>
      <c r="CX24" s="22">
        <f t="shared" si="0"/>
        <v>67</v>
      </c>
    </row>
    <row r="25" spans="1:102" ht="16" x14ac:dyDescent="0.2">
      <c r="A25" s="22" t="s">
        <v>342</v>
      </c>
      <c r="B25" s="31" t="s">
        <v>343</v>
      </c>
      <c r="G25" s="32" t="s">
        <v>299</v>
      </c>
      <c r="M25" s="32" t="s">
        <v>299</v>
      </c>
      <c r="P25" s="32" t="s">
        <v>299</v>
      </c>
      <c r="S25" s="32" t="s">
        <v>299</v>
      </c>
      <c r="Y25" s="32" t="s">
        <v>299</v>
      </c>
      <c r="AA25" s="32" t="s">
        <v>299</v>
      </c>
      <c r="AD25" s="32" t="s">
        <v>299</v>
      </c>
      <c r="AK25" s="32" t="s">
        <v>299</v>
      </c>
      <c r="AL25" s="32" t="s">
        <v>299</v>
      </c>
      <c r="AM25" s="32" t="s">
        <v>299</v>
      </c>
      <c r="BQ25" s="32" t="s">
        <v>299</v>
      </c>
      <c r="BS25" s="32" t="s">
        <v>299</v>
      </c>
      <c r="BV25" s="32" t="s">
        <v>299</v>
      </c>
      <c r="CE25" s="32" t="s">
        <v>299</v>
      </c>
      <c r="CX25" s="22">
        <f t="shared" si="0"/>
        <v>14</v>
      </c>
    </row>
    <row r="26" spans="1:102" ht="16" x14ac:dyDescent="0.2">
      <c r="A26" s="22" t="s">
        <v>344</v>
      </c>
      <c r="B26" s="31" t="s">
        <v>345</v>
      </c>
      <c r="E26" s="32" t="s">
        <v>299</v>
      </c>
      <c r="F26" s="32" t="s">
        <v>299</v>
      </c>
      <c r="G26" s="32" t="s">
        <v>299</v>
      </c>
      <c r="H26" s="32" t="s">
        <v>299</v>
      </c>
      <c r="M26" s="32" t="s">
        <v>299</v>
      </c>
      <c r="N26" s="32" t="s">
        <v>299</v>
      </c>
      <c r="P26" s="32" t="s">
        <v>299</v>
      </c>
      <c r="Y26" s="32" t="s">
        <v>299</v>
      </c>
      <c r="AA26" s="32" t="s">
        <v>299</v>
      </c>
      <c r="AB26" s="32" t="s">
        <v>299</v>
      </c>
      <c r="AC26" s="32" t="s">
        <v>299</v>
      </c>
      <c r="AD26" s="32" t="s">
        <v>299</v>
      </c>
      <c r="AE26" s="32" t="s">
        <v>299</v>
      </c>
      <c r="AF26" s="32" t="s">
        <v>299</v>
      </c>
      <c r="AG26" s="32" t="s">
        <v>299</v>
      </c>
      <c r="AH26" s="32" t="s">
        <v>299</v>
      </c>
      <c r="BQ26" s="32" t="s">
        <v>299</v>
      </c>
      <c r="BR26" s="32" t="s">
        <v>299</v>
      </c>
      <c r="BT26" s="32" t="s">
        <v>299</v>
      </c>
      <c r="BU26" s="32" t="s">
        <v>299</v>
      </c>
      <c r="CX26" s="22">
        <f t="shared" si="0"/>
        <v>20</v>
      </c>
    </row>
    <row r="27" spans="1:102" ht="16" x14ac:dyDescent="0.2">
      <c r="A27" s="22" t="s">
        <v>346</v>
      </c>
      <c r="B27" s="31" t="s">
        <v>347</v>
      </c>
      <c r="D27" s="32" t="s">
        <v>299</v>
      </c>
      <c r="E27" s="32" t="s">
        <v>299</v>
      </c>
      <c r="F27" s="32" t="s">
        <v>299</v>
      </c>
      <c r="G27" s="32" t="s">
        <v>299</v>
      </c>
      <c r="H27" s="32" t="s">
        <v>299</v>
      </c>
      <c r="I27" s="32" t="s">
        <v>299</v>
      </c>
      <c r="J27" s="32" t="s">
        <v>299</v>
      </c>
      <c r="M27" s="32" t="s">
        <v>299</v>
      </c>
      <c r="N27" s="32" t="s">
        <v>299</v>
      </c>
      <c r="P27" s="32" t="s">
        <v>299</v>
      </c>
      <c r="Q27" s="32" t="s">
        <v>299</v>
      </c>
      <c r="R27" s="32" t="s">
        <v>299</v>
      </c>
      <c r="S27" s="32" t="s">
        <v>299</v>
      </c>
      <c r="T27" s="32" t="s">
        <v>299</v>
      </c>
      <c r="W27" s="32" t="s">
        <v>299</v>
      </c>
      <c r="X27" s="32" t="s">
        <v>299</v>
      </c>
      <c r="Y27" s="32" t="s">
        <v>299</v>
      </c>
      <c r="Z27" s="32" t="s">
        <v>299</v>
      </c>
      <c r="AA27" s="32" t="s">
        <v>299</v>
      </c>
      <c r="AB27" s="32" t="s">
        <v>299</v>
      </c>
      <c r="AC27" s="32" t="s">
        <v>299</v>
      </c>
      <c r="AD27" s="32" t="s">
        <v>299</v>
      </c>
      <c r="AG27" s="32" t="s">
        <v>299</v>
      </c>
      <c r="AH27" s="32" t="s">
        <v>299</v>
      </c>
      <c r="AI27" s="32" t="s">
        <v>299</v>
      </c>
      <c r="AK27" s="32" t="s">
        <v>299</v>
      </c>
      <c r="AL27" s="32" t="s">
        <v>299</v>
      </c>
      <c r="AM27" s="32" t="s">
        <v>299</v>
      </c>
      <c r="BQ27" s="32" t="s">
        <v>299</v>
      </c>
      <c r="BR27" s="32" t="s">
        <v>299</v>
      </c>
      <c r="BS27" s="32" t="s">
        <v>299</v>
      </c>
      <c r="BT27" s="32" t="s">
        <v>299</v>
      </c>
      <c r="BU27" s="32" t="s">
        <v>299</v>
      </c>
      <c r="BV27" s="32" t="s">
        <v>299</v>
      </c>
      <c r="BW27" s="32" t="s">
        <v>299</v>
      </c>
      <c r="CE27" s="32" t="s">
        <v>299</v>
      </c>
      <c r="CX27" s="22">
        <f t="shared" si="0"/>
        <v>36</v>
      </c>
    </row>
    <row r="28" spans="1:102" ht="16" x14ac:dyDescent="0.2">
      <c r="A28" s="22" t="s">
        <v>348</v>
      </c>
      <c r="B28" s="31" t="s">
        <v>507</v>
      </c>
      <c r="M28" s="32" t="s">
        <v>299</v>
      </c>
      <c r="P28" s="32" t="s">
        <v>299</v>
      </c>
      <c r="S28" s="32" t="s">
        <v>299</v>
      </c>
      <c r="AC28" s="32" t="s">
        <v>299</v>
      </c>
      <c r="AD28" s="32" t="s">
        <v>299</v>
      </c>
      <c r="BU28" s="32" t="s">
        <v>299</v>
      </c>
      <c r="BV28" s="32" t="s">
        <v>299</v>
      </c>
      <c r="CX28" s="22">
        <f t="shared" si="0"/>
        <v>7</v>
      </c>
    </row>
    <row r="29" spans="1:102" ht="16" x14ac:dyDescent="0.2">
      <c r="A29" s="22" t="s">
        <v>350</v>
      </c>
      <c r="B29" s="31" t="s">
        <v>508</v>
      </c>
      <c r="M29" s="32" t="s">
        <v>299</v>
      </c>
      <c r="N29" s="32" t="s">
        <v>299</v>
      </c>
      <c r="P29" s="32" t="s">
        <v>299</v>
      </c>
      <c r="Q29" s="32" t="s">
        <v>299</v>
      </c>
      <c r="T29" s="32" t="s">
        <v>299</v>
      </c>
      <c r="W29" s="32" t="s">
        <v>299</v>
      </c>
      <c r="Y29" s="32" t="s">
        <v>299</v>
      </c>
      <c r="AA29" s="32" t="s">
        <v>299</v>
      </c>
      <c r="AB29" s="32" t="s">
        <v>299</v>
      </c>
      <c r="AC29" s="32" t="s">
        <v>299</v>
      </c>
      <c r="AD29" s="32" t="s">
        <v>299</v>
      </c>
      <c r="AE29" s="32" t="s">
        <v>299</v>
      </c>
      <c r="AF29" s="32" t="s">
        <v>299</v>
      </c>
      <c r="BQ29" s="32" t="s">
        <v>299</v>
      </c>
      <c r="BR29" s="32" t="s">
        <v>299</v>
      </c>
      <c r="BT29" s="32" t="s">
        <v>299</v>
      </c>
      <c r="BU29" s="32" t="s">
        <v>299</v>
      </c>
      <c r="BV29" s="32" t="s">
        <v>299</v>
      </c>
      <c r="BW29" s="32" t="s">
        <v>299</v>
      </c>
      <c r="CX29" s="22">
        <f t="shared" si="0"/>
        <v>19</v>
      </c>
    </row>
    <row r="30" spans="1:102" ht="16" x14ac:dyDescent="0.2">
      <c r="A30" s="22" t="s">
        <v>352</v>
      </c>
      <c r="B30" s="31" t="s">
        <v>353</v>
      </c>
      <c r="F30" s="32" t="s">
        <v>299</v>
      </c>
      <c r="M30" s="32" t="s">
        <v>299</v>
      </c>
      <c r="AC30" s="32" t="s">
        <v>299</v>
      </c>
      <c r="AD30" s="32" t="s">
        <v>299</v>
      </c>
      <c r="CX30" s="22">
        <f t="shared" si="0"/>
        <v>4</v>
      </c>
    </row>
    <row r="31" spans="1:102" ht="16" x14ac:dyDescent="0.2">
      <c r="A31" s="22" t="s">
        <v>354</v>
      </c>
      <c r="B31" s="31" t="s">
        <v>355</v>
      </c>
      <c r="F31" s="32" t="s">
        <v>299</v>
      </c>
      <c r="G31" s="32" t="s">
        <v>299</v>
      </c>
      <c r="H31" s="32" t="s">
        <v>299</v>
      </c>
      <c r="I31" s="32" t="s">
        <v>299</v>
      </c>
      <c r="M31" s="32" t="s">
        <v>299</v>
      </c>
      <c r="N31" s="32" t="s">
        <v>299</v>
      </c>
      <c r="P31" s="32" t="s">
        <v>299</v>
      </c>
      <c r="R31" s="32" t="s">
        <v>299</v>
      </c>
      <c r="S31" s="32" t="s">
        <v>299</v>
      </c>
      <c r="T31" s="32" t="s">
        <v>299</v>
      </c>
      <c r="W31" s="32" t="s">
        <v>299</v>
      </c>
      <c r="X31" s="32" t="s">
        <v>299</v>
      </c>
      <c r="Y31" s="32" t="s">
        <v>299</v>
      </c>
      <c r="AA31" s="32" t="s">
        <v>299</v>
      </c>
      <c r="AC31" s="32" t="s">
        <v>299</v>
      </c>
      <c r="AD31" s="32" t="s">
        <v>299</v>
      </c>
      <c r="AH31" s="32" t="s">
        <v>299</v>
      </c>
      <c r="AI31" s="32" t="s">
        <v>299</v>
      </c>
      <c r="BU31" s="32" t="s">
        <v>299</v>
      </c>
      <c r="BV31" s="32" t="s">
        <v>299</v>
      </c>
      <c r="CX31" s="22">
        <f t="shared" si="0"/>
        <v>20</v>
      </c>
    </row>
    <row r="32" spans="1:102" ht="16" x14ac:dyDescent="0.2">
      <c r="A32" s="22" t="s">
        <v>356</v>
      </c>
      <c r="B32" s="31" t="s">
        <v>357</v>
      </c>
      <c r="D32" s="32" t="s">
        <v>299</v>
      </c>
      <c r="G32" s="32" t="s">
        <v>299</v>
      </c>
      <c r="I32" s="32" t="s">
        <v>299</v>
      </c>
      <c r="K32" s="32" t="s">
        <v>299</v>
      </c>
      <c r="M32" s="32" t="s">
        <v>299</v>
      </c>
      <c r="P32" s="32" t="s">
        <v>299</v>
      </c>
      <c r="Q32" s="32" t="s">
        <v>299</v>
      </c>
      <c r="S32" s="32" t="s">
        <v>299</v>
      </c>
      <c r="Y32" s="32" t="s">
        <v>299</v>
      </c>
      <c r="AA32" s="32" t="s">
        <v>299</v>
      </c>
      <c r="AC32" s="32" t="s">
        <v>299</v>
      </c>
      <c r="AI32" s="32" t="s">
        <v>299</v>
      </c>
      <c r="BT32" s="32" t="s">
        <v>299</v>
      </c>
      <c r="BU32" s="32" t="s">
        <v>299</v>
      </c>
      <c r="BV32" s="32" t="s">
        <v>299</v>
      </c>
      <c r="CX32" s="22">
        <f t="shared" si="0"/>
        <v>15</v>
      </c>
    </row>
    <row r="33" spans="1:102" ht="16" x14ac:dyDescent="0.2">
      <c r="A33" s="22" t="s">
        <v>358</v>
      </c>
      <c r="B33" s="31" t="s">
        <v>359</v>
      </c>
      <c r="E33" s="32" t="s">
        <v>299</v>
      </c>
      <c r="G33" s="32" t="s">
        <v>299</v>
      </c>
      <c r="M33" s="32" t="s">
        <v>299</v>
      </c>
      <c r="P33" s="32" t="s">
        <v>299</v>
      </c>
      <c r="Q33" s="32" t="s">
        <v>299</v>
      </c>
      <c r="R33" s="32" t="s">
        <v>299</v>
      </c>
      <c r="S33" s="32" t="s">
        <v>299</v>
      </c>
      <c r="X33" s="32" t="s">
        <v>299</v>
      </c>
      <c r="Y33" s="32" t="s">
        <v>299</v>
      </c>
      <c r="AA33" s="32" t="s">
        <v>299</v>
      </c>
      <c r="AB33" s="32" t="s">
        <v>299</v>
      </c>
      <c r="AC33" s="32" t="s">
        <v>299</v>
      </c>
      <c r="AD33" s="32" t="s">
        <v>299</v>
      </c>
      <c r="AG33" s="32" t="s">
        <v>299</v>
      </c>
      <c r="AH33" s="32" t="s">
        <v>299</v>
      </c>
      <c r="AI33" s="32" t="s">
        <v>299</v>
      </c>
      <c r="AY33" s="32" t="s">
        <v>299</v>
      </c>
      <c r="BQ33" s="32" t="s">
        <v>299</v>
      </c>
      <c r="BR33" s="32" t="s">
        <v>299</v>
      </c>
      <c r="BS33" s="32" t="s">
        <v>299</v>
      </c>
      <c r="BV33" s="32" t="s">
        <v>299</v>
      </c>
      <c r="CO33" s="32" t="s">
        <v>299</v>
      </c>
      <c r="CX33" s="22">
        <f t="shared" si="0"/>
        <v>22</v>
      </c>
    </row>
    <row r="34" spans="1:102" ht="16" x14ac:dyDescent="0.2">
      <c r="A34" s="22" t="s">
        <v>360</v>
      </c>
      <c r="B34" s="31" t="s">
        <v>361</v>
      </c>
      <c r="G34" s="32" t="s">
        <v>299</v>
      </c>
      <c r="I34" s="32" t="s">
        <v>299</v>
      </c>
      <c r="P34" s="32" t="s">
        <v>299</v>
      </c>
      <c r="AC34" s="32" t="s">
        <v>299</v>
      </c>
      <c r="BQ34" s="32" t="s">
        <v>299</v>
      </c>
      <c r="BR34" s="32" t="s">
        <v>299</v>
      </c>
      <c r="BU34" s="32" t="s">
        <v>299</v>
      </c>
      <c r="CX34" s="22">
        <f t="shared" si="0"/>
        <v>7</v>
      </c>
    </row>
    <row r="35" spans="1:102" ht="16" x14ac:dyDescent="0.2">
      <c r="A35" s="22" t="s">
        <v>362</v>
      </c>
      <c r="B35" s="31" t="s">
        <v>363</v>
      </c>
      <c r="C35" s="32" t="s">
        <v>299</v>
      </c>
      <c r="D35" s="32" t="s">
        <v>299</v>
      </c>
      <c r="E35" s="32" t="s">
        <v>299</v>
      </c>
      <c r="F35" s="32" t="s">
        <v>299</v>
      </c>
      <c r="G35" s="32" t="s">
        <v>299</v>
      </c>
      <c r="H35" s="32" t="s">
        <v>299</v>
      </c>
      <c r="I35" s="32" t="s">
        <v>299</v>
      </c>
      <c r="J35" s="32" t="s">
        <v>299</v>
      </c>
      <c r="K35" s="32" t="s">
        <v>299</v>
      </c>
      <c r="L35" s="32" t="s">
        <v>299</v>
      </c>
      <c r="M35" s="32" t="s">
        <v>299</v>
      </c>
      <c r="N35" s="32" t="s">
        <v>299</v>
      </c>
      <c r="O35" s="32" t="s">
        <v>299</v>
      </c>
      <c r="P35" s="32" t="s">
        <v>299</v>
      </c>
      <c r="Q35" s="32" t="s">
        <v>299</v>
      </c>
      <c r="T35" s="32" t="s">
        <v>299</v>
      </c>
      <c r="W35" s="32" t="s">
        <v>299</v>
      </c>
      <c r="X35" s="32" t="s">
        <v>299</v>
      </c>
      <c r="Y35" s="32" t="s">
        <v>299</v>
      </c>
      <c r="Z35" s="32" t="s">
        <v>299</v>
      </c>
      <c r="AA35" s="32" t="s">
        <v>299</v>
      </c>
      <c r="AC35" s="32" t="s">
        <v>299</v>
      </c>
      <c r="AD35" s="32" t="s">
        <v>299</v>
      </c>
      <c r="AE35" s="32" t="s">
        <v>299</v>
      </c>
      <c r="AF35" s="32" t="s">
        <v>299</v>
      </c>
      <c r="AH35" s="32" t="s">
        <v>299</v>
      </c>
      <c r="AI35" s="32" t="s">
        <v>299</v>
      </c>
      <c r="AJ35" s="32" t="s">
        <v>299</v>
      </c>
      <c r="AK35" s="32" t="s">
        <v>299</v>
      </c>
      <c r="AL35" s="32" t="s">
        <v>299</v>
      </c>
      <c r="AM35" s="32" t="s">
        <v>299</v>
      </c>
      <c r="AP35" s="32" t="s">
        <v>299</v>
      </c>
      <c r="BQ35" s="32" t="s">
        <v>299</v>
      </c>
      <c r="BR35" s="32" t="s">
        <v>299</v>
      </c>
      <c r="BT35" s="32" t="s">
        <v>299</v>
      </c>
      <c r="BU35" s="32" t="s">
        <v>299</v>
      </c>
      <c r="BV35" s="32" t="s">
        <v>299</v>
      </c>
      <c r="CB35" s="32" t="s">
        <v>299</v>
      </c>
      <c r="CE35" s="32" t="s">
        <v>299</v>
      </c>
      <c r="CU35" s="32" t="s">
        <v>299</v>
      </c>
      <c r="CX35" s="22">
        <f t="shared" si="0"/>
        <v>40</v>
      </c>
    </row>
    <row r="36" spans="1:102" ht="16" x14ac:dyDescent="0.2">
      <c r="A36" s="22" t="s">
        <v>364</v>
      </c>
      <c r="B36" s="31" t="s">
        <v>365</v>
      </c>
      <c r="E36" s="32" t="s">
        <v>299</v>
      </c>
      <c r="F36" s="32" t="s">
        <v>299</v>
      </c>
      <c r="G36" s="32" t="s">
        <v>299</v>
      </c>
      <c r="I36" s="32" t="s">
        <v>299</v>
      </c>
      <c r="M36" s="32" t="s">
        <v>299</v>
      </c>
      <c r="P36" s="32" t="s">
        <v>299</v>
      </c>
      <c r="Q36" s="32" t="s">
        <v>299</v>
      </c>
      <c r="S36" s="32" t="s">
        <v>299</v>
      </c>
      <c r="X36" s="32" t="s">
        <v>299</v>
      </c>
      <c r="Y36" s="32" t="s">
        <v>299</v>
      </c>
      <c r="AA36" s="32" t="s">
        <v>299</v>
      </c>
      <c r="AB36" s="32" t="s">
        <v>299</v>
      </c>
      <c r="AC36" s="32" t="s">
        <v>299</v>
      </c>
      <c r="AD36" s="32" t="s">
        <v>299</v>
      </c>
      <c r="AI36" s="32" t="s">
        <v>299</v>
      </c>
      <c r="BQ36" s="32" t="s">
        <v>299</v>
      </c>
      <c r="BR36" s="32" t="s">
        <v>299</v>
      </c>
      <c r="BU36" s="32" t="s">
        <v>299</v>
      </c>
      <c r="BV36" s="32" t="s">
        <v>299</v>
      </c>
      <c r="CX36" s="22">
        <f t="shared" si="0"/>
        <v>19</v>
      </c>
    </row>
    <row r="37" spans="1:102" ht="16" x14ac:dyDescent="0.2">
      <c r="A37" s="22" t="s">
        <v>366</v>
      </c>
      <c r="B37" s="31" t="s">
        <v>509</v>
      </c>
      <c r="E37" s="32" t="s">
        <v>299</v>
      </c>
      <c r="H37" s="32" t="s">
        <v>299</v>
      </c>
      <c r="M37" s="32" t="s">
        <v>299</v>
      </c>
      <c r="P37" s="32" t="s">
        <v>299</v>
      </c>
      <c r="S37" s="32" t="s">
        <v>299</v>
      </c>
      <c r="BQ37" s="32" t="s">
        <v>299</v>
      </c>
      <c r="BR37" s="32" t="s">
        <v>299</v>
      </c>
      <c r="BS37" s="32" t="s">
        <v>299</v>
      </c>
      <c r="BU37" s="32" t="s">
        <v>299</v>
      </c>
      <c r="BV37" s="32" t="s">
        <v>299</v>
      </c>
      <c r="CX37" s="22">
        <f t="shared" si="0"/>
        <v>10</v>
      </c>
    </row>
    <row r="38" spans="1:102" ht="16" x14ac:dyDescent="0.2">
      <c r="A38" s="22" t="s">
        <v>368</v>
      </c>
      <c r="B38" s="31" t="s">
        <v>369</v>
      </c>
      <c r="C38" s="32" t="s">
        <v>299</v>
      </c>
      <c r="D38" s="32" t="s">
        <v>299</v>
      </c>
      <c r="E38" s="32" t="s">
        <v>299</v>
      </c>
      <c r="F38" s="32" t="s">
        <v>299</v>
      </c>
      <c r="G38" s="32" t="s">
        <v>299</v>
      </c>
      <c r="H38" s="32" t="s">
        <v>299</v>
      </c>
      <c r="I38" s="32" t="s">
        <v>299</v>
      </c>
      <c r="J38" s="32" t="s">
        <v>299</v>
      </c>
      <c r="K38" s="32" t="s">
        <v>299</v>
      </c>
      <c r="L38" s="32" t="s">
        <v>299</v>
      </c>
      <c r="M38" s="32" t="s">
        <v>299</v>
      </c>
      <c r="N38" s="32" t="s">
        <v>299</v>
      </c>
      <c r="O38" s="32" t="s">
        <v>299</v>
      </c>
      <c r="P38" s="32" t="s">
        <v>299</v>
      </c>
      <c r="R38" s="32" t="s">
        <v>299</v>
      </c>
      <c r="Y38" s="32" t="s">
        <v>299</v>
      </c>
      <c r="AA38" s="32" t="s">
        <v>299</v>
      </c>
      <c r="AB38" s="32" t="s">
        <v>299</v>
      </c>
      <c r="AC38" s="32" t="s">
        <v>299</v>
      </c>
      <c r="AD38" s="32" t="s">
        <v>299</v>
      </c>
      <c r="AE38" s="32" t="s">
        <v>299</v>
      </c>
      <c r="AF38" s="32" t="s">
        <v>299</v>
      </c>
      <c r="AG38" s="32" t="s">
        <v>299</v>
      </c>
      <c r="AH38" s="32" t="s">
        <v>299</v>
      </c>
      <c r="AI38" s="32" t="s">
        <v>299</v>
      </c>
      <c r="BQ38" s="32" t="s">
        <v>299</v>
      </c>
      <c r="BR38" s="32" t="s">
        <v>299</v>
      </c>
      <c r="BS38" s="32" t="s">
        <v>299</v>
      </c>
      <c r="BT38" s="32" t="s">
        <v>299</v>
      </c>
      <c r="BU38" s="32" t="s">
        <v>299</v>
      </c>
      <c r="BV38" s="32" t="s">
        <v>299</v>
      </c>
      <c r="CX38" s="22">
        <f t="shared" si="0"/>
        <v>31</v>
      </c>
    </row>
    <row r="39" spans="1:102" ht="16" x14ac:dyDescent="0.2">
      <c r="A39" s="22" t="s">
        <v>370</v>
      </c>
      <c r="B39" s="31" t="s">
        <v>371</v>
      </c>
      <c r="F39" s="32" t="s">
        <v>299</v>
      </c>
      <c r="G39" s="32" t="s">
        <v>299</v>
      </c>
      <c r="H39" s="32" t="s">
        <v>299</v>
      </c>
      <c r="I39" s="32" t="s">
        <v>299</v>
      </c>
      <c r="K39" s="32" t="s">
        <v>299</v>
      </c>
      <c r="M39" s="32" t="s">
        <v>299</v>
      </c>
      <c r="N39" s="32" t="s">
        <v>299</v>
      </c>
      <c r="P39" s="32" t="s">
        <v>299</v>
      </c>
      <c r="R39" s="32" t="s">
        <v>299</v>
      </c>
      <c r="S39" s="32" t="s">
        <v>299</v>
      </c>
      <c r="Y39" s="32" t="s">
        <v>299</v>
      </c>
      <c r="AA39" s="32" t="s">
        <v>299</v>
      </c>
      <c r="AB39" s="32" t="s">
        <v>299</v>
      </c>
      <c r="AC39" s="32" t="s">
        <v>299</v>
      </c>
      <c r="AD39" s="32" t="s">
        <v>299</v>
      </c>
      <c r="AI39" s="32" t="s">
        <v>299</v>
      </c>
      <c r="BQ39" s="32" t="s">
        <v>299</v>
      </c>
      <c r="BR39" s="32" t="s">
        <v>299</v>
      </c>
      <c r="BS39" s="32" t="s">
        <v>299</v>
      </c>
      <c r="BT39" s="32" t="s">
        <v>299</v>
      </c>
      <c r="BU39" s="32" t="s">
        <v>299</v>
      </c>
      <c r="BV39" s="32" t="s">
        <v>299</v>
      </c>
      <c r="CX39" s="22">
        <f t="shared" si="0"/>
        <v>22</v>
      </c>
    </row>
    <row r="40" spans="1:102" ht="16" x14ac:dyDescent="0.2">
      <c r="A40" s="22" t="s">
        <v>372</v>
      </c>
      <c r="B40" s="31" t="s">
        <v>37</v>
      </c>
      <c r="D40" s="32" t="s">
        <v>299</v>
      </c>
      <c r="E40" s="32" t="s">
        <v>299</v>
      </c>
      <c r="G40" s="32" t="s">
        <v>299</v>
      </c>
      <c r="H40" s="32" t="s">
        <v>299</v>
      </c>
      <c r="I40" s="32" t="s">
        <v>299</v>
      </c>
      <c r="J40" s="32" t="s">
        <v>299</v>
      </c>
      <c r="K40" s="32" t="s">
        <v>299</v>
      </c>
      <c r="M40" s="32" t="s">
        <v>299</v>
      </c>
      <c r="N40" s="32" t="s">
        <v>299</v>
      </c>
      <c r="P40" s="32" t="s">
        <v>299</v>
      </c>
      <c r="Q40" s="32" t="s">
        <v>299</v>
      </c>
      <c r="R40" s="32" t="s">
        <v>299</v>
      </c>
      <c r="S40" s="32" t="s">
        <v>299</v>
      </c>
      <c r="T40" s="32" t="s">
        <v>299</v>
      </c>
      <c r="U40" s="32" t="s">
        <v>299</v>
      </c>
      <c r="V40" s="32" t="s">
        <v>299</v>
      </c>
      <c r="W40" s="32" t="s">
        <v>299</v>
      </c>
      <c r="X40" s="32" t="s">
        <v>299</v>
      </c>
      <c r="Y40" s="32" t="s">
        <v>299</v>
      </c>
      <c r="AA40" s="32" t="s">
        <v>299</v>
      </c>
      <c r="AB40" s="32" t="s">
        <v>299</v>
      </c>
      <c r="AC40" s="32" t="s">
        <v>299</v>
      </c>
      <c r="AD40" s="32" t="s">
        <v>299</v>
      </c>
      <c r="AG40" s="32" t="s">
        <v>299</v>
      </c>
      <c r="AH40" s="32" t="s">
        <v>299</v>
      </c>
      <c r="AI40" s="32" t="s">
        <v>299</v>
      </c>
      <c r="AJ40" s="32" t="s">
        <v>299</v>
      </c>
      <c r="AK40" s="32" t="s">
        <v>299</v>
      </c>
      <c r="AL40" s="32" t="s">
        <v>299</v>
      </c>
      <c r="AP40" s="32" t="s">
        <v>299</v>
      </c>
      <c r="AY40" s="32" t="s">
        <v>299</v>
      </c>
      <c r="BM40" s="32" t="s">
        <v>299</v>
      </c>
      <c r="BN40" s="32" t="s">
        <v>299</v>
      </c>
      <c r="BO40" s="32" t="s">
        <v>299</v>
      </c>
      <c r="BP40" s="32" t="s">
        <v>299</v>
      </c>
      <c r="BQ40" s="32" t="s">
        <v>299</v>
      </c>
      <c r="BR40" s="32" t="s">
        <v>299</v>
      </c>
      <c r="BS40" s="32" t="s">
        <v>299</v>
      </c>
      <c r="BT40" s="32" t="s">
        <v>299</v>
      </c>
      <c r="BU40" s="32" t="s">
        <v>299</v>
      </c>
      <c r="BV40" s="32" t="s">
        <v>299</v>
      </c>
      <c r="BY40" s="32" t="s">
        <v>299</v>
      </c>
      <c r="BZ40" s="32" t="s">
        <v>299</v>
      </c>
      <c r="CA40" s="32" t="s">
        <v>299</v>
      </c>
      <c r="CB40" s="32" t="s">
        <v>299</v>
      </c>
      <c r="CC40" s="32" t="s">
        <v>299</v>
      </c>
      <c r="CD40" s="32" t="s">
        <v>299</v>
      </c>
      <c r="CE40" s="32" t="s">
        <v>299</v>
      </c>
      <c r="CG40" s="32" t="s">
        <v>299</v>
      </c>
      <c r="CO40" s="32" t="s">
        <v>299</v>
      </c>
      <c r="CX40" s="22">
        <f t="shared" si="0"/>
        <v>50</v>
      </c>
    </row>
    <row r="41" spans="1:102" ht="16" x14ac:dyDescent="0.2">
      <c r="A41" s="22" t="s">
        <v>373</v>
      </c>
      <c r="B41" s="31" t="s">
        <v>510</v>
      </c>
      <c r="M41" s="32" t="s">
        <v>299</v>
      </c>
      <c r="P41" s="32" t="s">
        <v>299</v>
      </c>
      <c r="S41" s="32" t="s">
        <v>299</v>
      </c>
      <c r="AC41" s="32" t="s">
        <v>299</v>
      </c>
      <c r="AD41" s="32" t="s">
        <v>299</v>
      </c>
      <c r="BU41" s="32" t="s">
        <v>299</v>
      </c>
      <c r="CX41" s="22">
        <f t="shared" si="0"/>
        <v>6</v>
      </c>
    </row>
    <row r="42" spans="1:102" ht="16" x14ac:dyDescent="0.2">
      <c r="A42" s="22" t="s">
        <v>375</v>
      </c>
      <c r="B42" s="31" t="s">
        <v>376</v>
      </c>
      <c r="E42" s="32" t="s">
        <v>299</v>
      </c>
      <c r="M42" s="32" t="s">
        <v>299</v>
      </c>
      <c r="P42" s="32" t="s">
        <v>299</v>
      </c>
      <c r="Q42" s="32" t="s">
        <v>299</v>
      </c>
      <c r="X42" s="32" t="s">
        <v>299</v>
      </c>
      <c r="Y42" s="32" t="s">
        <v>299</v>
      </c>
      <c r="AA42" s="32" t="s">
        <v>299</v>
      </c>
      <c r="AB42" s="32" t="s">
        <v>299</v>
      </c>
      <c r="AD42" s="32" t="s">
        <v>299</v>
      </c>
      <c r="AY42" s="32" t="s">
        <v>299</v>
      </c>
      <c r="BQ42" s="32" t="s">
        <v>299</v>
      </c>
      <c r="BR42" s="32" t="s">
        <v>299</v>
      </c>
      <c r="BU42" s="32" t="s">
        <v>299</v>
      </c>
      <c r="BV42" s="32" t="s">
        <v>299</v>
      </c>
      <c r="CO42" s="32" t="s">
        <v>299</v>
      </c>
      <c r="CX42" s="22">
        <f t="shared" si="0"/>
        <v>15</v>
      </c>
    </row>
    <row r="43" spans="1:102" ht="16" x14ac:dyDescent="0.2">
      <c r="A43" s="22" t="s">
        <v>377</v>
      </c>
      <c r="B43" s="31" t="s">
        <v>378</v>
      </c>
      <c r="G43" s="32" t="s">
        <v>299</v>
      </c>
      <c r="M43" s="32" t="s">
        <v>299</v>
      </c>
      <c r="P43" s="32" t="s">
        <v>299</v>
      </c>
      <c r="S43" s="32" t="s">
        <v>299</v>
      </c>
      <c r="Y43" s="32" t="s">
        <v>299</v>
      </c>
      <c r="AA43" s="32" t="s">
        <v>299</v>
      </c>
      <c r="AC43" s="32" t="s">
        <v>299</v>
      </c>
      <c r="AD43" s="32" t="s">
        <v>299</v>
      </c>
      <c r="AI43" s="32" t="s">
        <v>299</v>
      </c>
      <c r="BU43" s="32" t="s">
        <v>299</v>
      </c>
      <c r="CX43" s="22">
        <f t="shared" si="0"/>
        <v>10</v>
      </c>
    </row>
    <row r="44" spans="1:102" ht="16" x14ac:dyDescent="0.2">
      <c r="A44" s="22" t="s">
        <v>379</v>
      </c>
      <c r="B44" s="31" t="s">
        <v>511</v>
      </c>
      <c r="S44" s="32" t="s">
        <v>299</v>
      </c>
      <c r="CX44" s="22">
        <f t="shared" si="0"/>
        <v>1</v>
      </c>
    </row>
    <row r="45" spans="1:102" ht="16" x14ac:dyDescent="0.2">
      <c r="A45" s="22" t="s">
        <v>381</v>
      </c>
      <c r="B45" s="31" t="s">
        <v>382</v>
      </c>
      <c r="D45" s="32" t="s">
        <v>299</v>
      </c>
      <c r="E45" s="32" t="s">
        <v>299</v>
      </c>
      <c r="F45" s="32" t="s">
        <v>299</v>
      </c>
      <c r="G45" s="32" t="s">
        <v>299</v>
      </c>
      <c r="H45" s="32" t="s">
        <v>299</v>
      </c>
      <c r="I45" s="32" t="s">
        <v>299</v>
      </c>
      <c r="J45" s="32" t="s">
        <v>299</v>
      </c>
      <c r="K45" s="32" t="s">
        <v>299</v>
      </c>
      <c r="M45" s="32" t="s">
        <v>299</v>
      </c>
      <c r="N45" s="32" t="s">
        <v>299</v>
      </c>
      <c r="P45" s="32" t="s">
        <v>299</v>
      </c>
      <c r="Q45" s="32" t="s">
        <v>299</v>
      </c>
      <c r="R45" s="32" t="s">
        <v>299</v>
      </c>
      <c r="S45" s="32" t="s">
        <v>299</v>
      </c>
      <c r="X45" s="32" t="s">
        <v>299</v>
      </c>
      <c r="Y45" s="32" t="s">
        <v>299</v>
      </c>
      <c r="Z45" s="32" t="s">
        <v>299</v>
      </c>
      <c r="AA45" s="32" t="s">
        <v>299</v>
      </c>
      <c r="AB45" s="32" t="s">
        <v>299</v>
      </c>
      <c r="AC45" s="32" t="s">
        <v>299</v>
      </c>
      <c r="AD45" s="32" t="s">
        <v>299</v>
      </c>
      <c r="AE45" s="32" t="s">
        <v>299</v>
      </c>
      <c r="AF45" s="32" t="s">
        <v>299</v>
      </c>
      <c r="AG45" s="32" t="s">
        <v>299</v>
      </c>
      <c r="AH45" s="32" t="s">
        <v>299</v>
      </c>
      <c r="AI45" s="32" t="s">
        <v>299</v>
      </c>
      <c r="BQ45" s="32" t="s">
        <v>299</v>
      </c>
      <c r="BR45" s="32" t="s">
        <v>299</v>
      </c>
      <c r="BS45" s="32" t="s">
        <v>299</v>
      </c>
      <c r="BU45" s="32" t="s">
        <v>299</v>
      </c>
      <c r="BV45" s="32" t="s">
        <v>299</v>
      </c>
      <c r="CX45" s="22">
        <f t="shared" si="0"/>
        <v>31</v>
      </c>
    </row>
    <row r="46" spans="1:102" ht="16" x14ac:dyDescent="0.2">
      <c r="A46" s="22" t="s">
        <v>383</v>
      </c>
      <c r="B46" s="31" t="s">
        <v>384</v>
      </c>
      <c r="E46" s="32" t="s">
        <v>299</v>
      </c>
      <c r="F46" s="32" t="s">
        <v>299</v>
      </c>
      <c r="G46" s="32" t="s">
        <v>299</v>
      </c>
      <c r="H46" s="32" t="s">
        <v>299</v>
      </c>
      <c r="I46" s="32" t="s">
        <v>299</v>
      </c>
      <c r="J46" s="32" t="s">
        <v>299</v>
      </c>
      <c r="M46" s="32" t="s">
        <v>299</v>
      </c>
      <c r="N46" s="32" t="s">
        <v>299</v>
      </c>
      <c r="P46" s="32" t="s">
        <v>299</v>
      </c>
      <c r="Q46" s="32" t="s">
        <v>299</v>
      </c>
      <c r="R46" s="32" t="s">
        <v>299</v>
      </c>
      <c r="S46" s="32" t="s">
        <v>299</v>
      </c>
      <c r="T46" s="32" t="s">
        <v>299</v>
      </c>
      <c r="U46" s="32" t="s">
        <v>299</v>
      </c>
      <c r="V46" s="32" t="s">
        <v>299</v>
      </c>
      <c r="W46" s="32" t="s">
        <v>299</v>
      </c>
      <c r="X46" s="32" t="s">
        <v>299</v>
      </c>
      <c r="Y46" s="32" t="s">
        <v>299</v>
      </c>
      <c r="AA46" s="32" t="s">
        <v>299</v>
      </c>
      <c r="AB46" s="32" t="s">
        <v>299</v>
      </c>
      <c r="AC46" s="32" t="s">
        <v>299</v>
      </c>
      <c r="AD46" s="32" t="s">
        <v>299</v>
      </c>
      <c r="AG46" s="32" t="s">
        <v>299</v>
      </c>
      <c r="AH46" s="32" t="s">
        <v>299</v>
      </c>
      <c r="AI46" s="32" t="s">
        <v>299</v>
      </c>
      <c r="AJ46" s="32" t="s">
        <v>299</v>
      </c>
      <c r="AK46" s="32" t="s">
        <v>299</v>
      </c>
      <c r="AL46" s="32" t="s">
        <v>299</v>
      </c>
      <c r="AP46" s="32" t="s">
        <v>299</v>
      </c>
      <c r="AY46" s="32" t="s">
        <v>299</v>
      </c>
      <c r="BM46" s="32" t="s">
        <v>299</v>
      </c>
      <c r="BN46" s="32" t="s">
        <v>299</v>
      </c>
      <c r="BO46" s="32" t="s">
        <v>299</v>
      </c>
      <c r="BP46" s="32" t="s">
        <v>299</v>
      </c>
      <c r="BQ46" s="32" t="s">
        <v>299</v>
      </c>
      <c r="BR46" s="32" t="s">
        <v>299</v>
      </c>
      <c r="BS46" s="32" t="s">
        <v>299</v>
      </c>
      <c r="BT46" s="32" t="s">
        <v>299</v>
      </c>
      <c r="BU46" s="32" t="s">
        <v>299</v>
      </c>
      <c r="BV46" s="32" t="s">
        <v>299</v>
      </c>
      <c r="BY46" s="32" t="s">
        <v>299</v>
      </c>
      <c r="BZ46" s="32" t="s">
        <v>299</v>
      </c>
      <c r="CA46" s="32" t="s">
        <v>299</v>
      </c>
      <c r="CB46" s="32" t="s">
        <v>299</v>
      </c>
      <c r="CC46" s="32" t="s">
        <v>299</v>
      </c>
      <c r="CD46" s="32" t="s">
        <v>299</v>
      </c>
      <c r="CE46" s="32" t="s">
        <v>299</v>
      </c>
      <c r="CG46" s="32" t="s">
        <v>299</v>
      </c>
      <c r="CN46" s="32" t="s">
        <v>299</v>
      </c>
      <c r="CO46" s="32" t="s">
        <v>299</v>
      </c>
      <c r="CP46" s="32" t="s">
        <v>299</v>
      </c>
      <c r="CQ46" s="32" t="s">
        <v>299</v>
      </c>
      <c r="CT46" s="32" t="s">
        <v>299</v>
      </c>
      <c r="CX46" s="22">
        <f t="shared" si="0"/>
        <v>53</v>
      </c>
    </row>
    <row r="47" spans="1:102" ht="16" x14ac:dyDescent="0.2">
      <c r="A47" s="22" t="s">
        <v>385</v>
      </c>
      <c r="B47" s="31" t="s">
        <v>386</v>
      </c>
      <c r="F47" s="32" t="s">
        <v>299</v>
      </c>
      <c r="I47" s="32" t="s">
        <v>299</v>
      </c>
      <c r="M47" s="32" t="s">
        <v>299</v>
      </c>
      <c r="P47" s="32" t="s">
        <v>299</v>
      </c>
      <c r="S47" s="32" t="s">
        <v>299</v>
      </c>
      <c r="AB47" s="32" t="s">
        <v>299</v>
      </c>
      <c r="AK47" s="32" t="s">
        <v>299</v>
      </c>
      <c r="AL47" s="32" t="s">
        <v>299</v>
      </c>
      <c r="AM47" s="32" t="s">
        <v>299</v>
      </c>
      <c r="BQ47" s="32" t="s">
        <v>299</v>
      </c>
      <c r="BR47" s="32" t="s">
        <v>299</v>
      </c>
      <c r="BS47" s="32" t="s">
        <v>299</v>
      </c>
      <c r="BU47" s="32" t="s">
        <v>299</v>
      </c>
      <c r="BV47" s="32" t="s">
        <v>299</v>
      </c>
      <c r="CE47" s="32" t="s">
        <v>299</v>
      </c>
      <c r="CX47" s="22">
        <f t="shared" si="0"/>
        <v>15</v>
      </c>
    </row>
    <row r="48" spans="1:102" ht="16" x14ac:dyDescent="0.2">
      <c r="A48" s="22" t="s">
        <v>387</v>
      </c>
      <c r="B48" s="31" t="s">
        <v>388</v>
      </c>
      <c r="E48" s="32" t="s">
        <v>299</v>
      </c>
      <c r="F48" s="32" t="s">
        <v>299</v>
      </c>
      <c r="G48" s="32" t="s">
        <v>299</v>
      </c>
      <c r="H48" s="32" t="s">
        <v>299</v>
      </c>
      <c r="J48" s="32" t="s">
        <v>299</v>
      </c>
      <c r="M48" s="32" t="s">
        <v>299</v>
      </c>
      <c r="N48" s="32" t="s">
        <v>299</v>
      </c>
      <c r="P48" s="32" t="s">
        <v>299</v>
      </c>
      <c r="R48" s="32" t="s">
        <v>299</v>
      </c>
      <c r="S48" s="32" t="s">
        <v>299</v>
      </c>
      <c r="X48" s="32" t="s">
        <v>299</v>
      </c>
      <c r="Y48" s="32" t="s">
        <v>299</v>
      </c>
      <c r="Z48" s="32" t="s">
        <v>299</v>
      </c>
      <c r="AA48" s="32" t="s">
        <v>299</v>
      </c>
      <c r="AB48" s="32" t="s">
        <v>299</v>
      </c>
      <c r="AC48" s="32" t="s">
        <v>299</v>
      </c>
      <c r="AD48" s="32" t="s">
        <v>299</v>
      </c>
      <c r="AG48" s="32" t="s">
        <v>299</v>
      </c>
      <c r="AH48" s="32" t="s">
        <v>299</v>
      </c>
      <c r="AI48" s="32" t="s">
        <v>299</v>
      </c>
      <c r="BQ48" s="32" t="s">
        <v>299</v>
      </c>
      <c r="BR48" s="32" t="s">
        <v>299</v>
      </c>
      <c r="BS48" s="32" t="s">
        <v>299</v>
      </c>
      <c r="BU48" s="32" t="s">
        <v>299</v>
      </c>
      <c r="BV48" s="32" t="s">
        <v>299</v>
      </c>
      <c r="CX48" s="22">
        <f t="shared" si="0"/>
        <v>25</v>
      </c>
    </row>
    <row r="49" spans="1:102" ht="16" x14ac:dyDescent="0.2">
      <c r="A49" s="22" t="s">
        <v>389</v>
      </c>
      <c r="B49" s="31" t="s">
        <v>390</v>
      </c>
      <c r="D49" s="32" t="s">
        <v>299</v>
      </c>
      <c r="E49" s="32" t="s">
        <v>299</v>
      </c>
      <c r="G49" s="32" t="s">
        <v>299</v>
      </c>
      <c r="H49" s="32" t="s">
        <v>299</v>
      </c>
      <c r="I49" s="32" t="s">
        <v>299</v>
      </c>
      <c r="J49" s="32" t="s">
        <v>299</v>
      </c>
      <c r="M49" s="32" t="s">
        <v>299</v>
      </c>
      <c r="N49" s="32" t="s">
        <v>299</v>
      </c>
      <c r="P49" s="32" t="s">
        <v>299</v>
      </c>
      <c r="Q49" s="32" t="s">
        <v>299</v>
      </c>
      <c r="R49" s="32" t="s">
        <v>299</v>
      </c>
      <c r="S49" s="32" t="s">
        <v>299</v>
      </c>
      <c r="T49" s="32" t="s">
        <v>299</v>
      </c>
      <c r="W49" s="32" t="s">
        <v>299</v>
      </c>
      <c r="X49" s="32" t="s">
        <v>299</v>
      </c>
      <c r="Y49" s="32" t="s">
        <v>299</v>
      </c>
      <c r="AA49" s="32" t="s">
        <v>299</v>
      </c>
      <c r="AB49" s="32" t="s">
        <v>299</v>
      </c>
      <c r="AD49" s="32" t="s">
        <v>299</v>
      </c>
      <c r="AI49" s="32" t="s">
        <v>299</v>
      </c>
      <c r="AP49" s="32" t="s">
        <v>299</v>
      </c>
      <c r="AT49" s="32" t="s">
        <v>299</v>
      </c>
      <c r="AY49" s="32" t="s">
        <v>299</v>
      </c>
      <c r="BA49" s="32" t="s">
        <v>299</v>
      </c>
      <c r="BB49" s="32" t="s">
        <v>299</v>
      </c>
      <c r="BC49" s="32" t="s">
        <v>299</v>
      </c>
      <c r="BD49" s="32" t="s">
        <v>299</v>
      </c>
      <c r="BE49" s="32" t="s">
        <v>299</v>
      </c>
      <c r="BG49" s="32" t="s">
        <v>299</v>
      </c>
      <c r="BH49" s="32" t="s">
        <v>299</v>
      </c>
      <c r="BI49" s="32" t="s">
        <v>299</v>
      </c>
      <c r="BJ49" s="32" t="s">
        <v>299</v>
      </c>
      <c r="BK49" s="32" t="s">
        <v>299</v>
      </c>
      <c r="BL49" s="32" t="s">
        <v>299</v>
      </c>
      <c r="BM49" s="32" t="s">
        <v>299</v>
      </c>
      <c r="BN49" s="32" t="s">
        <v>299</v>
      </c>
      <c r="BO49" s="32" t="s">
        <v>299</v>
      </c>
      <c r="BP49" s="32" t="s">
        <v>299</v>
      </c>
      <c r="BQ49" s="32" t="s">
        <v>299</v>
      </c>
      <c r="BR49" s="32" t="s">
        <v>299</v>
      </c>
      <c r="BS49" s="32" t="s">
        <v>299</v>
      </c>
      <c r="BT49" s="32" t="s">
        <v>299</v>
      </c>
      <c r="BU49" s="32" t="s">
        <v>299</v>
      </c>
      <c r="BV49" s="32" t="s">
        <v>299</v>
      </c>
      <c r="BW49" s="32" t="s">
        <v>299</v>
      </c>
      <c r="BY49" s="32" t="s">
        <v>299</v>
      </c>
      <c r="CG49" s="32" t="s">
        <v>299</v>
      </c>
      <c r="CH49" s="32" t="s">
        <v>299</v>
      </c>
      <c r="CO49" s="32" t="s">
        <v>299</v>
      </c>
      <c r="CU49" s="32" t="s">
        <v>299</v>
      </c>
      <c r="CX49" s="22">
        <f t="shared" si="0"/>
        <v>50</v>
      </c>
    </row>
    <row r="50" spans="1:102" ht="16" x14ac:dyDescent="0.2">
      <c r="A50" s="22" t="s">
        <v>391</v>
      </c>
      <c r="B50" s="31" t="s">
        <v>392</v>
      </c>
      <c r="F50" s="32" t="s">
        <v>299</v>
      </c>
      <c r="M50" s="32" t="s">
        <v>299</v>
      </c>
      <c r="N50" s="32" t="s">
        <v>299</v>
      </c>
      <c r="P50" s="32" t="s">
        <v>299</v>
      </c>
      <c r="BQ50" s="32" t="s">
        <v>299</v>
      </c>
      <c r="BS50" s="32" t="s">
        <v>299</v>
      </c>
      <c r="BU50" s="32" t="s">
        <v>299</v>
      </c>
      <c r="BV50" s="32" t="s">
        <v>299</v>
      </c>
      <c r="CX50" s="22">
        <f t="shared" si="0"/>
        <v>8</v>
      </c>
    </row>
    <row r="51" spans="1:102" ht="16" x14ac:dyDescent="0.2">
      <c r="A51" s="22" t="s">
        <v>393</v>
      </c>
      <c r="B51" s="31" t="s">
        <v>394</v>
      </c>
      <c r="K51" s="32" t="s">
        <v>299</v>
      </c>
      <c r="M51" s="32" t="s">
        <v>299</v>
      </c>
      <c r="P51" s="32" t="s">
        <v>299</v>
      </c>
      <c r="S51" s="32" t="s">
        <v>299</v>
      </c>
      <c r="AC51" s="32" t="s">
        <v>299</v>
      </c>
      <c r="BQ51" s="32" t="s">
        <v>299</v>
      </c>
      <c r="BR51" s="32" t="s">
        <v>299</v>
      </c>
      <c r="BU51" s="32" t="s">
        <v>299</v>
      </c>
      <c r="BV51" s="32" t="s">
        <v>299</v>
      </c>
      <c r="CX51" s="22">
        <f t="shared" si="0"/>
        <v>9</v>
      </c>
    </row>
    <row r="52" spans="1:102" ht="16" x14ac:dyDescent="0.2">
      <c r="A52" s="22" t="s">
        <v>395</v>
      </c>
      <c r="B52" s="31" t="s">
        <v>303</v>
      </c>
      <c r="D52" s="32" t="s">
        <v>299</v>
      </c>
      <c r="E52" s="32" t="s">
        <v>299</v>
      </c>
      <c r="F52" s="32" t="s">
        <v>299</v>
      </c>
      <c r="G52" s="32" t="s">
        <v>299</v>
      </c>
      <c r="H52" s="32" t="s">
        <v>299</v>
      </c>
      <c r="I52" s="32" t="s">
        <v>299</v>
      </c>
      <c r="J52" s="32" t="s">
        <v>299</v>
      </c>
      <c r="K52" s="32" t="s">
        <v>299</v>
      </c>
      <c r="M52" s="32" t="s">
        <v>299</v>
      </c>
      <c r="N52" s="32" t="s">
        <v>299</v>
      </c>
      <c r="P52" s="32" t="s">
        <v>299</v>
      </c>
      <c r="Q52" s="32" t="s">
        <v>299</v>
      </c>
      <c r="R52" s="32" t="s">
        <v>299</v>
      </c>
      <c r="S52" s="32" t="s">
        <v>299</v>
      </c>
      <c r="T52" s="32" t="s">
        <v>299</v>
      </c>
      <c r="W52" s="32" t="s">
        <v>299</v>
      </c>
      <c r="X52" s="32" t="s">
        <v>299</v>
      </c>
      <c r="Y52" s="32" t="s">
        <v>299</v>
      </c>
      <c r="AA52" s="32" t="s">
        <v>299</v>
      </c>
      <c r="AB52" s="32" t="s">
        <v>299</v>
      </c>
      <c r="AC52" s="32" t="s">
        <v>299</v>
      </c>
      <c r="AD52" s="32" t="s">
        <v>299</v>
      </c>
      <c r="AG52" s="32" t="s">
        <v>299</v>
      </c>
      <c r="AH52" s="32" t="s">
        <v>299</v>
      </c>
      <c r="AI52" s="32" t="s">
        <v>299</v>
      </c>
      <c r="AY52" s="32" t="s">
        <v>299</v>
      </c>
      <c r="BQ52" s="32" t="s">
        <v>299</v>
      </c>
      <c r="BR52" s="32" t="s">
        <v>299</v>
      </c>
      <c r="BS52" s="32" t="s">
        <v>299</v>
      </c>
      <c r="BU52" s="32" t="s">
        <v>299</v>
      </c>
      <c r="BV52" s="32" t="s">
        <v>299</v>
      </c>
      <c r="CO52" s="32" t="s">
        <v>299</v>
      </c>
      <c r="CX52" s="22">
        <f t="shared" si="0"/>
        <v>32</v>
      </c>
    </row>
    <row r="53" spans="1:102" ht="16" x14ac:dyDescent="0.2">
      <c r="A53" s="22" t="s">
        <v>396</v>
      </c>
      <c r="B53" s="31" t="s">
        <v>397</v>
      </c>
      <c r="E53" s="32" t="s">
        <v>299</v>
      </c>
      <c r="F53" s="32" t="s">
        <v>299</v>
      </c>
      <c r="G53" s="32" t="s">
        <v>299</v>
      </c>
      <c r="H53" s="32" t="s">
        <v>299</v>
      </c>
      <c r="I53" s="32" t="s">
        <v>299</v>
      </c>
      <c r="M53" s="32" t="s">
        <v>299</v>
      </c>
      <c r="P53" s="32" t="s">
        <v>299</v>
      </c>
      <c r="S53" s="32" t="s">
        <v>299</v>
      </c>
      <c r="Y53" s="32" t="s">
        <v>299</v>
      </c>
      <c r="AA53" s="32" t="s">
        <v>299</v>
      </c>
      <c r="AC53" s="32" t="s">
        <v>299</v>
      </c>
      <c r="AD53" s="32" t="s">
        <v>299</v>
      </c>
      <c r="BQ53" s="32" t="s">
        <v>299</v>
      </c>
      <c r="BR53" s="32" t="s">
        <v>299</v>
      </c>
      <c r="BU53" s="32" t="s">
        <v>299</v>
      </c>
      <c r="BV53" s="32" t="s">
        <v>299</v>
      </c>
      <c r="CX53" s="22">
        <f t="shared" si="0"/>
        <v>16</v>
      </c>
    </row>
    <row r="54" spans="1:102" ht="16" x14ac:dyDescent="0.2">
      <c r="A54" s="22" t="s">
        <v>398</v>
      </c>
      <c r="B54" s="31" t="s">
        <v>399</v>
      </c>
      <c r="F54" s="32" t="s">
        <v>299</v>
      </c>
      <c r="G54" s="32" t="s">
        <v>299</v>
      </c>
      <c r="H54" s="32" t="s">
        <v>299</v>
      </c>
      <c r="I54" s="32" t="s">
        <v>299</v>
      </c>
      <c r="J54" s="32" t="s">
        <v>299</v>
      </c>
      <c r="K54" s="32" t="s">
        <v>299</v>
      </c>
      <c r="M54" s="32" t="s">
        <v>299</v>
      </c>
      <c r="N54" s="32" t="s">
        <v>299</v>
      </c>
      <c r="P54" s="32" t="s">
        <v>299</v>
      </c>
      <c r="R54" s="32" t="s">
        <v>299</v>
      </c>
      <c r="S54" s="32" t="s">
        <v>299</v>
      </c>
      <c r="T54" s="32" t="s">
        <v>299</v>
      </c>
      <c r="U54" s="32" t="s">
        <v>299</v>
      </c>
      <c r="V54" s="32" t="s">
        <v>299</v>
      </c>
      <c r="W54" s="32" t="s">
        <v>299</v>
      </c>
      <c r="X54" s="32" t="s">
        <v>299</v>
      </c>
      <c r="Y54" s="32" t="s">
        <v>299</v>
      </c>
      <c r="AA54" s="32" t="s">
        <v>299</v>
      </c>
      <c r="AB54" s="32" t="s">
        <v>299</v>
      </c>
      <c r="AC54" s="32" t="s">
        <v>299</v>
      </c>
      <c r="AD54" s="32" t="s">
        <v>299</v>
      </c>
      <c r="AG54" s="32" t="s">
        <v>299</v>
      </c>
      <c r="AH54" s="32" t="s">
        <v>299</v>
      </c>
      <c r="AI54" s="32" t="s">
        <v>299</v>
      </c>
      <c r="AJ54" s="32" t="s">
        <v>299</v>
      </c>
      <c r="AK54" s="32" t="s">
        <v>299</v>
      </c>
      <c r="AL54" s="32" t="s">
        <v>299</v>
      </c>
      <c r="AP54" s="32" t="s">
        <v>299</v>
      </c>
      <c r="AY54" s="32" t="s">
        <v>299</v>
      </c>
      <c r="BM54" s="32" t="s">
        <v>299</v>
      </c>
      <c r="BN54" s="32" t="s">
        <v>299</v>
      </c>
      <c r="BO54" s="32" t="s">
        <v>299</v>
      </c>
      <c r="BP54" s="32" t="s">
        <v>299</v>
      </c>
      <c r="BQ54" s="32" t="s">
        <v>299</v>
      </c>
      <c r="BR54" s="32" t="s">
        <v>299</v>
      </c>
      <c r="BS54" s="32" t="s">
        <v>299</v>
      </c>
      <c r="BT54" s="32" t="s">
        <v>299</v>
      </c>
      <c r="BU54" s="32" t="s">
        <v>299</v>
      </c>
      <c r="BV54" s="32" t="s">
        <v>299</v>
      </c>
      <c r="BW54" s="32" t="s">
        <v>299</v>
      </c>
      <c r="BY54" s="32" t="s">
        <v>299</v>
      </c>
      <c r="BZ54" s="32" t="s">
        <v>299</v>
      </c>
      <c r="CA54" s="32" t="s">
        <v>299</v>
      </c>
      <c r="CB54" s="32" t="s">
        <v>299</v>
      </c>
      <c r="CC54" s="32" t="s">
        <v>299</v>
      </c>
      <c r="CD54" s="32" t="s">
        <v>299</v>
      </c>
      <c r="CE54" s="32" t="s">
        <v>299</v>
      </c>
      <c r="CG54" s="32" t="s">
        <v>299</v>
      </c>
      <c r="CN54" s="32" t="s">
        <v>299</v>
      </c>
      <c r="CO54" s="32" t="s">
        <v>299</v>
      </c>
      <c r="CP54" s="32" t="s">
        <v>299</v>
      </c>
      <c r="CQ54" s="32" t="s">
        <v>299</v>
      </c>
      <c r="CT54" s="32" t="s">
        <v>299</v>
      </c>
      <c r="CX54" s="22">
        <f t="shared" si="0"/>
        <v>53</v>
      </c>
    </row>
    <row r="55" spans="1:102" ht="16" x14ac:dyDescent="0.2">
      <c r="A55" s="22" t="s">
        <v>400</v>
      </c>
      <c r="B55" s="31" t="s">
        <v>401</v>
      </c>
      <c r="E55" s="32" t="s">
        <v>299</v>
      </c>
      <c r="F55" s="32" t="s">
        <v>299</v>
      </c>
      <c r="G55" s="32" t="s">
        <v>299</v>
      </c>
      <c r="H55" s="32" t="s">
        <v>299</v>
      </c>
      <c r="I55" s="32" t="s">
        <v>299</v>
      </c>
      <c r="J55" s="32" t="s">
        <v>299</v>
      </c>
      <c r="K55" s="32" t="s">
        <v>299</v>
      </c>
      <c r="M55" s="32" t="s">
        <v>299</v>
      </c>
      <c r="N55" s="32" t="s">
        <v>299</v>
      </c>
      <c r="P55" s="32" t="s">
        <v>299</v>
      </c>
      <c r="Q55" s="32" t="s">
        <v>299</v>
      </c>
      <c r="R55" s="32" t="s">
        <v>299</v>
      </c>
      <c r="S55" s="32" t="s">
        <v>299</v>
      </c>
      <c r="X55" s="32" t="s">
        <v>299</v>
      </c>
      <c r="Y55" s="32" t="s">
        <v>299</v>
      </c>
      <c r="AA55" s="32" t="s">
        <v>299</v>
      </c>
      <c r="AB55" s="32" t="s">
        <v>299</v>
      </c>
      <c r="AC55" s="32" t="s">
        <v>299</v>
      </c>
      <c r="AD55" s="32" t="s">
        <v>299</v>
      </c>
      <c r="AG55" s="32" t="s">
        <v>299</v>
      </c>
      <c r="AH55" s="32" t="s">
        <v>299</v>
      </c>
      <c r="AI55" s="32" t="s">
        <v>299</v>
      </c>
      <c r="BQ55" s="32" t="s">
        <v>299</v>
      </c>
      <c r="BR55" s="32" t="s">
        <v>299</v>
      </c>
      <c r="BS55" s="32" t="s">
        <v>299</v>
      </c>
      <c r="BT55" s="32" t="s">
        <v>299</v>
      </c>
      <c r="BU55" s="32" t="s">
        <v>299</v>
      </c>
      <c r="BV55" s="32" t="s">
        <v>299</v>
      </c>
      <c r="CX55" s="22">
        <f t="shared" si="0"/>
        <v>28</v>
      </c>
    </row>
    <row r="56" spans="1:102" ht="16" x14ac:dyDescent="0.2">
      <c r="A56" s="22" t="s">
        <v>402</v>
      </c>
      <c r="B56" s="31" t="s">
        <v>403</v>
      </c>
      <c r="E56" s="32" t="s">
        <v>299</v>
      </c>
      <c r="G56" s="32" t="s">
        <v>299</v>
      </c>
      <c r="H56" s="32" t="s">
        <v>299</v>
      </c>
      <c r="K56" s="32" t="s">
        <v>299</v>
      </c>
      <c r="M56" s="32" t="s">
        <v>299</v>
      </c>
      <c r="P56" s="32" t="s">
        <v>299</v>
      </c>
      <c r="Q56" s="32" t="s">
        <v>299</v>
      </c>
      <c r="R56" s="32" t="s">
        <v>299</v>
      </c>
      <c r="S56" s="32" t="s">
        <v>299</v>
      </c>
      <c r="X56" s="32" t="s">
        <v>299</v>
      </c>
      <c r="Y56" s="32" t="s">
        <v>299</v>
      </c>
      <c r="AA56" s="32" t="s">
        <v>299</v>
      </c>
      <c r="AB56" s="32" t="s">
        <v>299</v>
      </c>
      <c r="AC56" s="32" t="s">
        <v>299</v>
      </c>
      <c r="AD56" s="32" t="s">
        <v>299</v>
      </c>
      <c r="BQ56" s="32" t="s">
        <v>299</v>
      </c>
      <c r="BR56" s="32" t="s">
        <v>299</v>
      </c>
      <c r="BU56" s="32" t="s">
        <v>299</v>
      </c>
      <c r="BV56" s="32" t="s">
        <v>299</v>
      </c>
      <c r="CX56" s="22">
        <f t="shared" si="0"/>
        <v>19</v>
      </c>
    </row>
    <row r="57" spans="1:102" ht="16" x14ac:dyDescent="0.2">
      <c r="A57" s="22" t="s">
        <v>404</v>
      </c>
      <c r="B57" s="31" t="s">
        <v>405</v>
      </c>
      <c r="D57" s="32" t="s">
        <v>299</v>
      </c>
      <c r="G57" s="32" t="s">
        <v>299</v>
      </c>
      <c r="H57" s="32" t="s">
        <v>299</v>
      </c>
      <c r="I57" s="32" t="s">
        <v>299</v>
      </c>
      <c r="J57" s="32" t="s">
        <v>299</v>
      </c>
      <c r="L57" s="32" t="s">
        <v>299</v>
      </c>
      <c r="M57" s="32" t="s">
        <v>299</v>
      </c>
      <c r="N57" s="32" t="s">
        <v>299</v>
      </c>
      <c r="P57" s="32" t="s">
        <v>299</v>
      </c>
      <c r="Q57" s="32" t="s">
        <v>299</v>
      </c>
      <c r="R57" s="32" t="s">
        <v>299</v>
      </c>
      <c r="S57" s="32" t="s">
        <v>299</v>
      </c>
      <c r="T57" s="32" t="s">
        <v>299</v>
      </c>
      <c r="W57" s="32" t="s">
        <v>299</v>
      </c>
      <c r="X57" s="32" t="s">
        <v>299</v>
      </c>
      <c r="Y57" s="32" t="s">
        <v>299</v>
      </c>
      <c r="AA57" s="32" t="s">
        <v>299</v>
      </c>
      <c r="AB57" s="32" t="s">
        <v>299</v>
      </c>
      <c r="AC57" s="32" t="s">
        <v>299</v>
      </c>
      <c r="AD57" s="32" t="s">
        <v>299</v>
      </c>
      <c r="AE57" s="32" t="s">
        <v>299</v>
      </c>
      <c r="AF57" s="32" t="s">
        <v>299</v>
      </c>
      <c r="AG57" s="32" t="s">
        <v>299</v>
      </c>
      <c r="AH57" s="32" t="s">
        <v>299</v>
      </c>
      <c r="AI57" s="32" t="s">
        <v>299</v>
      </c>
      <c r="AJ57" s="32" t="s">
        <v>299</v>
      </c>
      <c r="AK57" s="32" t="s">
        <v>299</v>
      </c>
      <c r="AL57" s="32" t="s">
        <v>299</v>
      </c>
      <c r="AP57" s="32" t="s">
        <v>299</v>
      </c>
      <c r="AT57" s="32" t="s">
        <v>299</v>
      </c>
      <c r="AV57" s="32" t="s">
        <v>299</v>
      </c>
      <c r="AW57" s="32" t="s">
        <v>299</v>
      </c>
      <c r="AX57" s="32" t="s">
        <v>299</v>
      </c>
      <c r="AY57" s="32" t="s">
        <v>299</v>
      </c>
      <c r="AZ57" s="32" t="s">
        <v>299</v>
      </c>
      <c r="BA57" s="32" t="s">
        <v>299</v>
      </c>
      <c r="BB57" s="32" t="s">
        <v>299</v>
      </c>
      <c r="BC57" s="32" t="s">
        <v>299</v>
      </c>
      <c r="BD57" s="32" t="s">
        <v>299</v>
      </c>
      <c r="BE57" s="32" t="s">
        <v>299</v>
      </c>
      <c r="BG57" s="32" t="s">
        <v>299</v>
      </c>
      <c r="BH57" s="32" t="s">
        <v>299</v>
      </c>
      <c r="BI57" s="32" t="s">
        <v>299</v>
      </c>
      <c r="BJ57" s="32" t="s">
        <v>299</v>
      </c>
      <c r="BK57" s="32" t="s">
        <v>299</v>
      </c>
      <c r="BL57" s="32" t="s">
        <v>299</v>
      </c>
      <c r="BM57" s="32" t="s">
        <v>299</v>
      </c>
      <c r="BN57" s="32" t="s">
        <v>299</v>
      </c>
      <c r="BO57" s="32" t="s">
        <v>299</v>
      </c>
      <c r="BP57" s="32" t="s">
        <v>299</v>
      </c>
      <c r="BQ57" s="32" t="s">
        <v>299</v>
      </c>
      <c r="BR57" s="32" t="s">
        <v>299</v>
      </c>
      <c r="BS57" s="32" t="s">
        <v>299</v>
      </c>
      <c r="BT57" s="32" t="s">
        <v>299</v>
      </c>
      <c r="BU57" s="32" t="s">
        <v>299</v>
      </c>
      <c r="BV57" s="32" t="s">
        <v>299</v>
      </c>
      <c r="BW57" s="32" t="s">
        <v>299</v>
      </c>
      <c r="BY57" s="32" t="s">
        <v>299</v>
      </c>
      <c r="BZ57" s="32" t="s">
        <v>299</v>
      </c>
      <c r="CA57" s="32" t="s">
        <v>299</v>
      </c>
      <c r="CB57" s="32" t="s">
        <v>299</v>
      </c>
      <c r="CC57" s="32" t="s">
        <v>299</v>
      </c>
      <c r="CD57" s="32" t="s">
        <v>299</v>
      </c>
      <c r="CE57" s="32" t="s">
        <v>299</v>
      </c>
      <c r="CG57" s="32" t="s">
        <v>299</v>
      </c>
      <c r="CH57" s="32" t="s">
        <v>299</v>
      </c>
      <c r="CI57" s="32" t="s">
        <v>299</v>
      </c>
      <c r="CJ57" s="32" t="s">
        <v>299</v>
      </c>
      <c r="CK57" s="32" t="s">
        <v>299</v>
      </c>
      <c r="CL57" s="32" t="s">
        <v>299</v>
      </c>
      <c r="CM57" s="32" t="s">
        <v>299</v>
      </c>
      <c r="CN57" s="32" t="s">
        <v>299</v>
      </c>
      <c r="CO57" s="32" t="s">
        <v>299</v>
      </c>
      <c r="CP57" s="32" t="s">
        <v>299</v>
      </c>
      <c r="CQ57" s="32" t="s">
        <v>299</v>
      </c>
      <c r="CR57" s="32" t="s">
        <v>299</v>
      </c>
      <c r="CS57" s="32" t="s">
        <v>299</v>
      </c>
      <c r="CT57" s="32" t="s">
        <v>299</v>
      </c>
      <c r="CU57" s="32" t="s">
        <v>299</v>
      </c>
      <c r="CX57" s="22">
        <f t="shared" si="0"/>
        <v>79</v>
      </c>
    </row>
    <row r="58" spans="1:102" ht="16" x14ac:dyDescent="0.2">
      <c r="A58" s="22" t="s">
        <v>406</v>
      </c>
      <c r="B58" s="31" t="s">
        <v>501</v>
      </c>
      <c r="D58" s="32" t="s">
        <v>299</v>
      </c>
      <c r="E58" s="32" t="s">
        <v>299</v>
      </c>
      <c r="G58" s="32" t="s">
        <v>299</v>
      </c>
      <c r="I58" s="32" t="s">
        <v>299</v>
      </c>
      <c r="K58" s="32" t="s">
        <v>299</v>
      </c>
      <c r="M58" s="32" t="s">
        <v>299</v>
      </c>
      <c r="P58" s="32" t="s">
        <v>299</v>
      </c>
      <c r="Q58" s="32" t="s">
        <v>299</v>
      </c>
      <c r="S58" s="32" t="s">
        <v>299</v>
      </c>
      <c r="Y58" s="32" t="s">
        <v>299</v>
      </c>
      <c r="AA58" s="32" t="s">
        <v>299</v>
      </c>
      <c r="AB58" s="32" t="s">
        <v>299</v>
      </c>
      <c r="AC58" s="32" t="s">
        <v>299</v>
      </c>
      <c r="AD58" s="32" t="s">
        <v>299</v>
      </c>
      <c r="AI58" s="32" t="s">
        <v>299</v>
      </c>
      <c r="BQ58" s="32" t="s">
        <v>299</v>
      </c>
      <c r="BR58" s="32" t="s">
        <v>299</v>
      </c>
      <c r="BS58" s="32" t="s">
        <v>299</v>
      </c>
      <c r="BU58" s="32" t="s">
        <v>299</v>
      </c>
      <c r="BV58" s="32" t="s">
        <v>299</v>
      </c>
      <c r="CX58" s="22">
        <f t="shared" si="0"/>
        <v>20</v>
      </c>
    </row>
    <row r="59" spans="1:102" ht="16" x14ac:dyDescent="0.2">
      <c r="A59" s="22" t="s">
        <v>407</v>
      </c>
      <c r="B59" s="31" t="s">
        <v>408</v>
      </c>
      <c r="AC59" s="32" t="s">
        <v>299</v>
      </c>
      <c r="AD59" s="32" t="s">
        <v>299</v>
      </c>
      <c r="BQ59" s="32" t="s">
        <v>299</v>
      </c>
      <c r="BR59" s="32" t="s">
        <v>299</v>
      </c>
      <c r="BS59" s="32" t="s">
        <v>299</v>
      </c>
      <c r="CX59" s="22">
        <f t="shared" si="0"/>
        <v>5</v>
      </c>
    </row>
    <row r="60" spans="1:102" ht="16" x14ac:dyDescent="0.2">
      <c r="A60" s="22" t="s">
        <v>409</v>
      </c>
      <c r="B60" s="31" t="s">
        <v>512</v>
      </c>
      <c r="E60" s="32" t="s">
        <v>299</v>
      </c>
      <c r="F60" s="32" t="s">
        <v>299</v>
      </c>
      <c r="G60" s="32" t="s">
        <v>299</v>
      </c>
      <c r="I60" s="32" t="s">
        <v>299</v>
      </c>
      <c r="M60" s="32" t="s">
        <v>299</v>
      </c>
      <c r="P60" s="32" t="s">
        <v>299</v>
      </c>
      <c r="Y60" s="32" t="s">
        <v>299</v>
      </c>
      <c r="AA60" s="32" t="s">
        <v>299</v>
      </c>
      <c r="AC60" s="32" t="s">
        <v>299</v>
      </c>
      <c r="AD60" s="32" t="s">
        <v>299</v>
      </c>
      <c r="BQ60" s="32" t="s">
        <v>299</v>
      </c>
      <c r="BR60" s="32" t="s">
        <v>299</v>
      </c>
      <c r="BS60" s="32" t="s">
        <v>299</v>
      </c>
      <c r="BU60" s="32" t="s">
        <v>299</v>
      </c>
      <c r="CX60" s="22">
        <f t="shared" si="0"/>
        <v>14</v>
      </c>
    </row>
    <row r="61" spans="1:102" ht="16" x14ac:dyDescent="0.2">
      <c r="A61" s="22" t="s">
        <v>411</v>
      </c>
      <c r="B61" s="31" t="s">
        <v>513</v>
      </c>
      <c r="G61" s="32" t="s">
        <v>299</v>
      </c>
      <c r="H61" s="32" t="s">
        <v>299</v>
      </c>
      <c r="K61" s="32" t="s">
        <v>299</v>
      </c>
      <c r="M61" s="32" t="s">
        <v>299</v>
      </c>
      <c r="P61" s="32" t="s">
        <v>299</v>
      </c>
      <c r="R61" s="32" t="s">
        <v>299</v>
      </c>
      <c r="S61" s="32" t="s">
        <v>299</v>
      </c>
      <c r="Y61" s="32" t="s">
        <v>299</v>
      </c>
      <c r="AA61" s="32" t="s">
        <v>299</v>
      </c>
      <c r="AB61" s="32" t="s">
        <v>299</v>
      </c>
      <c r="AC61" s="32" t="s">
        <v>299</v>
      </c>
      <c r="AD61" s="32" t="s">
        <v>299</v>
      </c>
      <c r="BQ61" s="32" t="s">
        <v>299</v>
      </c>
      <c r="BS61" s="32" t="s">
        <v>299</v>
      </c>
      <c r="BU61" s="32" t="s">
        <v>299</v>
      </c>
      <c r="CX61" s="22">
        <f t="shared" si="0"/>
        <v>15</v>
      </c>
    </row>
    <row r="62" spans="1:102" ht="16" x14ac:dyDescent="0.2">
      <c r="A62" s="22" t="s">
        <v>413</v>
      </c>
      <c r="B62" s="31" t="s">
        <v>414</v>
      </c>
      <c r="F62" s="32" t="s">
        <v>299</v>
      </c>
      <c r="G62" s="32" t="s">
        <v>299</v>
      </c>
      <c r="H62" s="32" t="s">
        <v>299</v>
      </c>
      <c r="I62" s="32" t="s">
        <v>299</v>
      </c>
      <c r="M62" s="32" t="s">
        <v>299</v>
      </c>
      <c r="N62" s="32" t="s">
        <v>299</v>
      </c>
      <c r="P62" s="32" t="s">
        <v>299</v>
      </c>
      <c r="S62" s="32" t="s">
        <v>299</v>
      </c>
      <c r="Y62" s="32" t="s">
        <v>299</v>
      </c>
      <c r="AA62" s="32" t="s">
        <v>299</v>
      </c>
      <c r="AD62" s="32" t="s">
        <v>299</v>
      </c>
      <c r="AI62" s="32" t="s">
        <v>299</v>
      </c>
      <c r="BQ62" s="32" t="s">
        <v>299</v>
      </c>
      <c r="BR62" s="32" t="s">
        <v>299</v>
      </c>
      <c r="BS62" s="32" t="s">
        <v>299</v>
      </c>
      <c r="BU62" s="32" t="s">
        <v>299</v>
      </c>
      <c r="BV62" s="32" t="s">
        <v>299</v>
      </c>
      <c r="CX62" s="22">
        <f t="shared" si="0"/>
        <v>17</v>
      </c>
    </row>
    <row r="63" spans="1:102" ht="16" x14ac:dyDescent="0.2">
      <c r="A63" s="22" t="s">
        <v>415</v>
      </c>
      <c r="B63" s="31" t="s">
        <v>514</v>
      </c>
      <c r="D63" s="32" t="s">
        <v>299</v>
      </c>
      <c r="E63" s="32" t="s">
        <v>299</v>
      </c>
      <c r="G63" s="32" t="s">
        <v>299</v>
      </c>
      <c r="K63" s="32" t="s">
        <v>299</v>
      </c>
      <c r="M63" s="32" t="s">
        <v>299</v>
      </c>
      <c r="P63" s="32" t="s">
        <v>299</v>
      </c>
      <c r="Q63" s="32" t="s">
        <v>299</v>
      </c>
      <c r="R63" s="32" t="s">
        <v>299</v>
      </c>
      <c r="S63" s="32" t="s">
        <v>299</v>
      </c>
      <c r="X63" s="32" t="s">
        <v>299</v>
      </c>
      <c r="Y63" s="32" t="s">
        <v>299</v>
      </c>
      <c r="AA63" s="32" t="s">
        <v>299</v>
      </c>
      <c r="AB63" s="32" t="s">
        <v>299</v>
      </c>
      <c r="AC63" s="32" t="s">
        <v>299</v>
      </c>
      <c r="AD63" s="32" t="s">
        <v>299</v>
      </c>
      <c r="AG63" s="32" t="s">
        <v>299</v>
      </c>
      <c r="AH63" s="32" t="s">
        <v>299</v>
      </c>
      <c r="AI63" s="32" t="s">
        <v>299</v>
      </c>
      <c r="BQ63" s="32" t="s">
        <v>299</v>
      </c>
      <c r="BR63" s="32" t="s">
        <v>299</v>
      </c>
      <c r="BS63" s="32" t="s">
        <v>299</v>
      </c>
      <c r="BT63" s="32" t="s">
        <v>299</v>
      </c>
      <c r="BU63" s="32" t="s">
        <v>299</v>
      </c>
      <c r="BV63" s="32" t="s">
        <v>299</v>
      </c>
      <c r="CX63" s="22">
        <f t="shared" si="0"/>
        <v>24</v>
      </c>
    </row>
    <row r="64" spans="1:102" ht="16" x14ac:dyDescent="0.2">
      <c r="A64" s="22" t="s">
        <v>416</v>
      </c>
      <c r="B64" s="31" t="s">
        <v>417</v>
      </c>
      <c r="D64" s="32" t="s">
        <v>299</v>
      </c>
      <c r="K64" s="32" t="s">
        <v>299</v>
      </c>
      <c r="M64" s="32" t="s">
        <v>299</v>
      </c>
      <c r="P64" s="32" t="s">
        <v>299</v>
      </c>
      <c r="CX64" s="22">
        <f t="shared" si="0"/>
        <v>4</v>
      </c>
    </row>
    <row r="65" spans="1:102" ht="16" x14ac:dyDescent="0.2">
      <c r="A65" s="22" t="s">
        <v>418</v>
      </c>
      <c r="B65" s="31" t="s">
        <v>515</v>
      </c>
      <c r="E65" s="32" t="s">
        <v>299</v>
      </c>
      <c r="CX65" s="22">
        <f t="shared" si="0"/>
        <v>1</v>
      </c>
    </row>
    <row r="66" spans="1:102" ht="16" x14ac:dyDescent="0.2">
      <c r="A66" s="22" t="s">
        <v>420</v>
      </c>
      <c r="B66" s="31" t="s">
        <v>516</v>
      </c>
      <c r="C66" s="32" t="s">
        <v>299</v>
      </c>
      <c r="D66" s="32" t="s">
        <v>299</v>
      </c>
      <c r="E66" s="32" t="s">
        <v>299</v>
      </c>
      <c r="F66" s="32" t="s">
        <v>299</v>
      </c>
      <c r="G66" s="32" t="s">
        <v>299</v>
      </c>
      <c r="H66" s="32" t="s">
        <v>299</v>
      </c>
      <c r="I66" s="32" t="s">
        <v>299</v>
      </c>
      <c r="J66" s="32" t="s">
        <v>299</v>
      </c>
      <c r="K66" s="32" t="s">
        <v>299</v>
      </c>
      <c r="L66" s="32" t="s">
        <v>299</v>
      </c>
      <c r="M66" s="32" t="s">
        <v>299</v>
      </c>
      <c r="N66" s="32" t="s">
        <v>299</v>
      </c>
      <c r="O66" s="32" t="s">
        <v>299</v>
      </c>
      <c r="P66" s="32" t="s">
        <v>299</v>
      </c>
      <c r="S66" s="32" t="s">
        <v>299</v>
      </c>
      <c r="T66" s="32" t="s">
        <v>299</v>
      </c>
      <c r="U66" s="32" t="s">
        <v>299</v>
      </c>
      <c r="V66" s="32" t="s">
        <v>299</v>
      </c>
      <c r="W66" s="32" t="s">
        <v>299</v>
      </c>
      <c r="X66" s="32" t="s">
        <v>299</v>
      </c>
      <c r="Y66" s="32" t="s">
        <v>299</v>
      </c>
      <c r="Z66" s="32" t="s">
        <v>299</v>
      </c>
      <c r="AA66" s="32" t="s">
        <v>299</v>
      </c>
      <c r="AB66" s="32" t="s">
        <v>299</v>
      </c>
      <c r="AC66" s="32" t="s">
        <v>299</v>
      </c>
      <c r="AD66" s="32" t="s">
        <v>299</v>
      </c>
      <c r="AG66" s="32" t="s">
        <v>299</v>
      </c>
      <c r="AH66" s="32" t="s">
        <v>299</v>
      </c>
      <c r="AI66" s="32" t="s">
        <v>299</v>
      </c>
      <c r="BQ66" s="32" t="s">
        <v>299</v>
      </c>
      <c r="BS66" s="32" t="s">
        <v>299</v>
      </c>
      <c r="BU66" s="32" t="s">
        <v>299</v>
      </c>
      <c r="CX66" s="22">
        <f t="shared" si="0"/>
        <v>32</v>
      </c>
    </row>
    <row r="67" spans="1:102" ht="16" x14ac:dyDescent="0.2">
      <c r="A67" s="22" t="s">
        <v>422</v>
      </c>
      <c r="B67" s="31" t="s">
        <v>423</v>
      </c>
      <c r="CX67" s="22">
        <f t="shared" si="0"/>
        <v>0</v>
      </c>
    </row>
    <row r="68" spans="1:102" ht="16" x14ac:dyDescent="0.2">
      <c r="A68" s="22" t="s">
        <v>424</v>
      </c>
      <c r="B68" s="31" t="s">
        <v>425</v>
      </c>
      <c r="E68" s="32" t="s">
        <v>299</v>
      </c>
      <c r="F68" s="32" t="s">
        <v>299</v>
      </c>
      <c r="G68" s="32" t="s">
        <v>299</v>
      </c>
      <c r="M68" s="32" t="s">
        <v>299</v>
      </c>
      <c r="P68" s="32" t="s">
        <v>299</v>
      </c>
      <c r="R68" s="32" t="s">
        <v>299</v>
      </c>
      <c r="S68" s="32" t="s">
        <v>299</v>
      </c>
      <c r="T68" s="32" t="s">
        <v>299</v>
      </c>
      <c r="W68" s="32" t="s">
        <v>299</v>
      </c>
      <c r="X68" s="32" t="s">
        <v>299</v>
      </c>
      <c r="Y68" s="32" t="s">
        <v>299</v>
      </c>
      <c r="Z68" s="32" t="s">
        <v>299</v>
      </c>
      <c r="AA68" s="32" t="s">
        <v>299</v>
      </c>
      <c r="AB68" s="32" t="s">
        <v>299</v>
      </c>
      <c r="AC68" s="32" t="s">
        <v>299</v>
      </c>
      <c r="AD68" s="32" t="s">
        <v>299</v>
      </c>
      <c r="AG68" s="32" t="s">
        <v>299</v>
      </c>
      <c r="AH68" s="32" t="s">
        <v>299</v>
      </c>
      <c r="BQ68" s="32" t="s">
        <v>299</v>
      </c>
      <c r="BR68" s="32" t="s">
        <v>299</v>
      </c>
      <c r="BS68" s="32" t="s">
        <v>299</v>
      </c>
      <c r="BT68" s="32" t="s">
        <v>299</v>
      </c>
      <c r="BU68" s="32" t="s">
        <v>299</v>
      </c>
      <c r="BV68" s="32" t="s">
        <v>299</v>
      </c>
      <c r="CX68" s="22">
        <f t="shared" ref="CX68:CX102" si="1">COUNTIF(C68:CW68, "FP")</f>
        <v>24</v>
      </c>
    </row>
    <row r="69" spans="1:102" ht="16" x14ac:dyDescent="0.2">
      <c r="A69" s="22" t="s">
        <v>426</v>
      </c>
      <c r="B69" s="31" t="s">
        <v>303</v>
      </c>
      <c r="K69" s="32" t="s">
        <v>299</v>
      </c>
      <c r="M69" s="32" t="s">
        <v>299</v>
      </c>
      <c r="P69" s="32" t="s">
        <v>299</v>
      </c>
      <c r="R69" s="32" t="s">
        <v>299</v>
      </c>
      <c r="S69" s="32" t="s">
        <v>299</v>
      </c>
      <c r="T69" s="32" t="s">
        <v>299</v>
      </c>
      <c r="W69" s="32" t="s">
        <v>299</v>
      </c>
      <c r="Y69" s="32" t="s">
        <v>299</v>
      </c>
      <c r="AA69" s="32" t="s">
        <v>299</v>
      </c>
      <c r="AB69" s="32" t="s">
        <v>299</v>
      </c>
      <c r="AC69" s="32" t="s">
        <v>299</v>
      </c>
      <c r="AD69" s="32" t="s">
        <v>299</v>
      </c>
      <c r="BQ69" s="32" t="s">
        <v>299</v>
      </c>
      <c r="BR69" s="32" t="s">
        <v>299</v>
      </c>
      <c r="BS69" s="32" t="s">
        <v>299</v>
      </c>
      <c r="BU69" s="32" t="s">
        <v>299</v>
      </c>
      <c r="BV69" s="32" t="s">
        <v>299</v>
      </c>
      <c r="CX69" s="22">
        <f t="shared" si="1"/>
        <v>17</v>
      </c>
    </row>
    <row r="70" spans="1:102" ht="16" x14ac:dyDescent="0.2">
      <c r="A70" s="22" t="s">
        <v>427</v>
      </c>
      <c r="B70" s="31" t="s">
        <v>428</v>
      </c>
      <c r="D70" s="32" t="s">
        <v>299</v>
      </c>
      <c r="E70" s="32" t="s">
        <v>299</v>
      </c>
      <c r="F70" s="32" t="s">
        <v>299</v>
      </c>
      <c r="G70" s="32" t="s">
        <v>299</v>
      </c>
      <c r="H70" s="32" t="s">
        <v>299</v>
      </c>
      <c r="I70" s="32" t="s">
        <v>299</v>
      </c>
      <c r="J70" s="32" t="s">
        <v>299</v>
      </c>
      <c r="M70" s="32" t="s">
        <v>299</v>
      </c>
      <c r="N70" s="32" t="s">
        <v>299</v>
      </c>
      <c r="P70" s="32" t="s">
        <v>299</v>
      </c>
      <c r="R70" s="32" t="s">
        <v>299</v>
      </c>
      <c r="S70" s="32" t="s">
        <v>299</v>
      </c>
      <c r="T70" s="32" t="s">
        <v>299</v>
      </c>
      <c r="W70" s="32" t="s">
        <v>299</v>
      </c>
      <c r="X70" s="32" t="s">
        <v>299</v>
      </c>
      <c r="Y70" s="32" t="s">
        <v>299</v>
      </c>
      <c r="AA70" s="32" t="s">
        <v>299</v>
      </c>
      <c r="AB70" s="32" t="s">
        <v>299</v>
      </c>
      <c r="AC70" s="32" t="s">
        <v>299</v>
      </c>
      <c r="AD70" s="32" t="s">
        <v>299</v>
      </c>
      <c r="AH70" s="32" t="s">
        <v>299</v>
      </c>
      <c r="AI70" s="32" t="s">
        <v>299</v>
      </c>
      <c r="BQ70" s="32" t="s">
        <v>299</v>
      </c>
      <c r="BR70" s="32" t="s">
        <v>299</v>
      </c>
      <c r="BS70" s="32" t="s">
        <v>299</v>
      </c>
      <c r="BT70" s="32" t="s">
        <v>299</v>
      </c>
      <c r="BU70" s="32" t="s">
        <v>299</v>
      </c>
      <c r="BV70" s="32" t="s">
        <v>299</v>
      </c>
      <c r="CX70" s="22">
        <f t="shared" si="1"/>
        <v>28</v>
      </c>
    </row>
    <row r="71" spans="1:102" ht="16" x14ac:dyDescent="0.2">
      <c r="A71" s="22" t="s">
        <v>429</v>
      </c>
      <c r="B71" s="31" t="s">
        <v>517</v>
      </c>
      <c r="E71" s="32" t="s">
        <v>299</v>
      </c>
      <c r="G71" s="32" t="s">
        <v>299</v>
      </c>
      <c r="P71" s="32" t="s">
        <v>299</v>
      </c>
      <c r="S71" s="32" t="s">
        <v>299</v>
      </c>
      <c r="X71" s="32" t="s">
        <v>299</v>
      </c>
      <c r="Y71" s="32" t="s">
        <v>299</v>
      </c>
      <c r="AA71" s="32" t="s">
        <v>299</v>
      </c>
      <c r="AC71" s="32" t="s">
        <v>299</v>
      </c>
      <c r="AD71" s="32" t="s">
        <v>299</v>
      </c>
      <c r="BU71" s="32" t="s">
        <v>299</v>
      </c>
      <c r="BV71" s="32" t="s">
        <v>299</v>
      </c>
      <c r="CX71" s="22">
        <f t="shared" si="1"/>
        <v>11</v>
      </c>
    </row>
    <row r="72" spans="1:102" ht="16" x14ac:dyDescent="0.2">
      <c r="A72" s="22" t="s">
        <v>431</v>
      </c>
      <c r="B72" s="31" t="s">
        <v>432</v>
      </c>
      <c r="E72" s="32" t="s">
        <v>299</v>
      </c>
      <c r="F72" s="32" t="s">
        <v>299</v>
      </c>
      <c r="G72" s="32" t="s">
        <v>299</v>
      </c>
      <c r="H72" s="32" t="s">
        <v>299</v>
      </c>
      <c r="I72" s="32" t="s">
        <v>299</v>
      </c>
      <c r="M72" s="32" t="s">
        <v>299</v>
      </c>
      <c r="N72" s="32" t="s">
        <v>299</v>
      </c>
      <c r="P72" s="32" t="s">
        <v>299</v>
      </c>
      <c r="Q72" s="32" t="s">
        <v>299</v>
      </c>
      <c r="R72" s="32" t="s">
        <v>299</v>
      </c>
      <c r="S72" s="32" t="s">
        <v>299</v>
      </c>
      <c r="T72" s="32" t="s">
        <v>299</v>
      </c>
      <c r="W72" s="32" t="s">
        <v>299</v>
      </c>
      <c r="X72" s="32" t="s">
        <v>299</v>
      </c>
      <c r="Y72" s="32" t="s">
        <v>299</v>
      </c>
      <c r="AA72" s="32" t="s">
        <v>299</v>
      </c>
      <c r="AB72" s="32" t="s">
        <v>299</v>
      </c>
      <c r="AC72" s="32" t="s">
        <v>299</v>
      </c>
      <c r="AD72" s="32" t="s">
        <v>299</v>
      </c>
      <c r="AG72" s="32" t="s">
        <v>299</v>
      </c>
      <c r="AH72" s="32" t="s">
        <v>299</v>
      </c>
      <c r="AI72" s="32" t="s">
        <v>299</v>
      </c>
      <c r="BQ72" s="32" t="s">
        <v>299</v>
      </c>
      <c r="BR72" s="32" t="s">
        <v>299</v>
      </c>
      <c r="BS72" s="32" t="s">
        <v>299</v>
      </c>
      <c r="BU72" s="32" t="s">
        <v>299</v>
      </c>
      <c r="BV72" s="32" t="s">
        <v>299</v>
      </c>
      <c r="CX72" s="22">
        <f t="shared" si="1"/>
        <v>27</v>
      </c>
    </row>
    <row r="73" spans="1:102" ht="16" x14ac:dyDescent="0.2">
      <c r="A73" s="22" t="s">
        <v>433</v>
      </c>
      <c r="B73" s="31" t="s">
        <v>434</v>
      </c>
      <c r="G73" s="32" t="s">
        <v>299</v>
      </c>
      <c r="M73" s="32" t="s">
        <v>299</v>
      </c>
      <c r="N73" s="32" t="s">
        <v>299</v>
      </c>
      <c r="P73" s="32" t="s">
        <v>299</v>
      </c>
      <c r="S73" s="32" t="s">
        <v>299</v>
      </c>
      <c r="X73" s="32" t="s">
        <v>299</v>
      </c>
      <c r="Y73" s="32" t="s">
        <v>299</v>
      </c>
      <c r="Z73" s="32" t="s">
        <v>299</v>
      </c>
      <c r="AA73" s="32" t="s">
        <v>299</v>
      </c>
      <c r="AB73" s="32" t="s">
        <v>299</v>
      </c>
      <c r="AC73" s="32" t="s">
        <v>299</v>
      </c>
      <c r="AD73" s="32" t="s">
        <v>299</v>
      </c>
      <c r="AG73" s="32" t="s">
        <v>299</v>
      </c>
      <c r="AH73" s="32" t="s">
        <v>299</v>
      </c>
      <c r="AI73" s="32" t="s">
        <v>299</v>
      </c>
      <c r="AJ73" s="32" t="s">
        <v>299</v>
      </c>
      <c r="BQ73" s="32" t="s">
        <v>299</v>
      </c>
      <c r="BR73" s="32" t="s">
        <v>299</v>
      </c>
      <c r="BU73" s="32" t="s">
        <v>299</v>
      </c>
      <c r="BV73" s="32" t="s">
        <v>299</v>
      </c>
      <c r="CB73" s="32" t="s">
        <v>299</v>
      </c>
      <c r="CX73" s="22">
        <f t="shared" si="1"/>
        <v>21</v>
      </c>
    </row>
    <row r="74" spans="1:102" ht="16" x14ac:dyDescent="0.2">
      <c r="A74" s="22" t="s">
        <v>435</v>
      </c>
      <c r="B74" s="31" t="s">
        <v>436</v>
      </c>
      <c r="G74" s="32" t="s">
        <v>299</v>
      </c>
      <c r="M74" s="32" t="s">
        <v>299</v>
      </c>
      <c r="N74" s="32" t="s">
        <v>299</v>
      </c>
      <c r="P74" s="32" t="s">
        <v>299</v>
      </c>
      <c r="Q74" s="32" t="s">
        <v>299</v>
      </c>
      <c r="S74" s="32" t="s">
        <v>299</v>
      </c>
      <c r="Y74" s="32" t="s">
        <v>299</v>
      </c>
      <c r="AA74" s="32" t="s">
        <v>299</v>
      </c>
      <c r="AB74" s="32" t="s">
        <v>299</v>
      </c>
      <c r="AG74" s="32" t="s">
        <v>299</v>
      </c>
      <c r="AH74" s="32" t="s">
        <v>299</v>
      </c>
      <c r="BT74" s="32" t="s">
        <v>299</v>
      </c>
      <c r="BU74" s="32" t="s">
        <v>299</v>
      </c>
      <c r="CX74" s="22">
        <f t="shared" si="1"/>
        <v>13</v>
      </c>
    </row>
    <row r="75" spans="1:102" ht="16" x14ac:dyDescent="0.2">
      <c r="A75" s="22" t="s">
        <v>437</v>
      </c>
      <c r="B75" s="31" t="s">
        <v>438</v>
      </c>
      <c r="E75" s="32" t="s">
        <v>299</v>
      </c>
      <c r="F75" s="32" t="s">
        <v>299</v>
      </c>
      <c r="G75" s="32" t="s">
        <v>299</v>
      </c>
      <c r="H75" s="32" t="s">
        <v>299</v>
      </c>
      <c r="I75" s="32" t="s">
        <v>299</v>
      </c>
      <c r="J75" s="32" t="s">
        <v>299</v>
      </c>
      <c r="M75" s="32" t="s">
        <v>299</v>
      </c>
      <c r="N75" s="32" t="s">
        <v>299</v>
      </c>
      <c r="P75" s="32" t="s">
        <v>299</v>
      </c>
      <c r="Q75" s="32" t="s">
        <v>299</v>
      </c>
      <c r="R75" s="32" t="s">
        <v>299</v>
      </c>
      <c r="S75" s="32" t="s">
        <v>299</v>
      </c>
      <c r="T75" s="32" t="s">
        <v>299</v>
      </c>
      <c r="U75" s="32" t="s">
        <v>299</v>
      </c>
      <c r="V75" s="32" t="s">
        <v>299</v>
      </c>
      <c r="W75" s="32" t="s">
        <v>299</v>
      </c>
      <c r="X75" s="32" t="s">
        <v>299</v>
      </c>
      <c r="Y75" s="32" t="s">
        <v>299</v>
      </c>
      <c r="AA75" s="32" t="s">
        <v>299</v>
      </c>
      <c r="AB75" s="32" t="s">
        <v>299</v>
      </c>
      <c r="AC75" s="32" t="s">
        <v>299</v>
      </c>
      <c r="AD75" s="32" t="s">
        <v>299</v>
      </c>
      <c r="AG75" s="32" t="s">
        <v>299</v>
      </c>
      <c r="AH75" s="32" t="s">
        <v>299</v>
      </c>
      <c r="AI75" s="32" t="s">
        <v>299</v>
      </c>
      <c r="AJ75" s="32" t="s">
        <v>299</v>
      </c>
      <c r="AK75" s="32" t="s">
        <v>299</v>
      </c>
      <c r="AL75" s="32" t="s">
        <v>299</v>
      </c>
      <c r="AP75" s="32" t="s">
        <v>299</v>
      </c>
      <c r="AY75" s="32" t="s">
        <v>299</v>
      </c>
      <c r="BM75" s="32" t="s">
        <v>299</v>
      </c>
      <c r="BN75" s="32" t="s">
        <v>299</v>
      </c>
      <c r="BO75" s="32" t="s">
        <v>299</v>
      </c>
      <c r="BP75" s="32" t="s">
        <v>299</v>
      </c>
      <c r="BQ75" s="32" t="s">
        <v>299</v>
      </c>
      <c r="BR75" s="32" t="s">
        <v>299</v>
      </c>
      <c r="BS75" s="32" t="s">
        <v>299</v>
      </c>
      <c r="BT75" s="32" t="s">
        <v>299</v>
      </c>
      <c r="BU75" s="32" t="s">
        <v>299</v>
      </c>
      <c r="BV75" s="32" t="s">
        <v>299</v>
      </c>
      <c r="BY75" s="32" t="s">
        <v>299</v>
      </c>
      <c r="BZ75" s="32" t="s">
        <v>299</v>
      </c>
      <c r="CA75" s="32" t="s">
        <v>299</v>
      </c>
      <c r="CB75" s="32" t="s">
        <v>299</v>
      </c>
      <c r="CC75" s="32" t="s">
        <v>299</v>
      </c>
      <c r="CD75" s="32" t="s">
        <v>299</v>
      </c>
      <c r="CE75" s="32" t="s">
        <v>299</v>
      </c>
      <c r="CG75" s="32" t="s">
        <v>299</v>
      </c>
      <c r="CN75" s="32" t="s">
        <v>299</v>
      </c>
      <c r="CO75" s="32" t="s">
        <v>299</v>
      </c>
      <c r="CP75" s="32" t="s">
        <v>299</v>
      </c>
      <c r="CQ75" s="32" t="s">
        <v>299</v>
      </c>
      <c r="CT75" s="32" t="s">
        <v>299</v>
      </c>
      <c r="CX75" s="22">
        <f t="shared" si="1"/>
        <v>53</v>
      </c>
    </row>
    <row r="76" spans="1:102" ht="16" x14ac:dyDescent="0.2">
      <c r="A76" s="22" t="s">
        <v>439</v>
      </c>
      <c r="B76" s="31" t="s">
        <v>440</v>
      </c>
      <c r="H76" s="32" t="s">
        <v>299</v>
      </c>
      <c r="I76" s="32" t="s">
        <v>299</v>
      </c>
      <c r="M76" s="32" t="s">
        <v>299</v>
      </c>
      <c r="P76" s="32" t="s">
        <v>299</v>
      </c>
      <c r="AB76" s="32" t="s">
        <v>299</v>
      </c>
      <c r="AC76" s="32" t="s">
        <v>299</v>
      </c>
      <c r="AI76" s="32" t="s">
        <v>299</v>
      </c>
      <c r="BQ76" s="32" t="s">
        <v>299</v>
      </c>
      <c r="BR76" s="32" t="s">
        <v>299</v>
      </c>
      <c r="BS76" s="32" t="s">
        <v>299</v>
      </c>
      <c r="CX76" s="22">
        <f t="shared" si="1"/>
        <v>10</v>
      </c>
    </row>
    <row r="77" spans="1:102" ht="16" x14ac:dyDescent="0.2">
      <c r="A77" s="22" t="s">
        <v>441</v>
      </c>
      <c r="B77" s="31" t="s">
        <v>376</v>
      </c>
      <c r="C77" s="32" t="s">
        <v>299</v>
      </c>
      <c r="D77" s="32" t="s">
        <v>299</v>
      </c>
      <c r="E77" s="32" t="s">
        <v>299</v>
      </c>
      <c r="F77" s="32" t="s">
        <v>299</v>
      </c>
      <c r="G77" s="32" t="s">
        <v>299</v>
      </c>
      <c r="H77" s="32" t="s">
        <v>299</v>
      </c>
      <c r="I77" s="32" t="s">
        <v>299</v>
      </c>
      <c r="J77" s="32" t="s">
        <v>299</v>
      </c>
      <c r="K77" s="32" t="s">
        <v>299</v>
      </c>
      <c r="L77" s="32" t="s">
        <v>299</v>
      </c>
      <c r="M77" s="32" t="s">
        <v>299</v>
      </c>
      <c r="N77" s="32" t="s">
        <v>299</v>
      </c>
      <c r="O77" s="32" t="s">
        <v>299</v>
      </c>
      <c r="P77" s="32" t="s">
        <v>299</v>
      </c>
      <c r="Q77" s="32" t="s">
        <v>299</v>
      </c>
      <c r="R77" s="32" t="s">
        <v>299</v>
      </c>
      <c r="S77" s="32" t="s">
        <v>299</v>
      </c>
      <c r="T77" s="32" t="s">
        <v>299</v>
      </c>
      <c r="W77" s="32" t="s">
        <v>299</v>
      </c>
      <c r="X77" s="32" t="s">
        <v>299</v>
      </c>
      <c r="Y77" s="32" t="s">
        <v>299</v>
      </c>
      <c r="Z77" s="32" t="s">
        <v>299</v>
      </c>
      <c r="AA77" s="32" t="s">
        <v>299</v>
      </c>
      <c r="AB77" s="32" t="s">
        <v>299</v>
      </c>
      <c r="AC77" s="32" t="s">
        <v>299</v>
      </c>
      <c r="AD77" s="32" t="s">
        <v>299</v>
      </c>
      <c r="AE77" s="32" t="s">
        <v>299</v>
      </c>
      <c r="AF77" s="32" t="s">
        <v>299</v>
      </c>
      <c r="AG77" s="32" t="s">
        <v>299</v>
      </c>
      <c r="AH77" s="32" t="s">
        <v>299</v>
      </c>
      <c r="AI77" s="32" t="s">
        <v>299</v>
      </c>
      <c r="AJ77" s="32" t="s">
        <v>299</v>
      </c>
      <c r="AK77" s="32" t="s">
        <v>299</v>
      </c>
      <c r="AL77" s="32" t="s">
        <v>299</v>
      </c>
      <c r="AM77" s="32" t="s">
        <v>299</v>
      </c>
      <c r="AN77" s="32" t="s">
        <v>299</v>
      </c>
      <c r="AO77" s="32" t="s">
        <v>299</v>
      </c>
      <c r="AP77" s="32" t="s">
        <v>299</v>
      </c>
      <c r="AQ77" s="32" t="s">
        <v>299</v>
      </c>
      <c r="AR77" s="32" t="s">
        <v>299</v>
      </c>
      <c r="AS77" s="32" t="s">
        <v>299</v>
      </c>
      <c r="AU77" s="32" t="s">
        <v>299</v>
      </c>
      <c r="AY77" s="32" t="s">
        <v>299</v>
      </c>
      <c r="BQ77" s="32" t="s">
        <v>299</v>
      </c>
      <c r="BR77" s="32" t="s">
        <v>299</v>
      </c>
      <c r="BS77" s="32" t="s">
        <v>299</v>
      </c>
      <c r="BU77" s="32" t="s">
        <v>299</v>
      </c>
      <c r="BV77" s="32" t="s">
        <v>299</v>
      </c>
      <c r="BW77" s="32" t="s">
        <v>299</v>
      </c>
      <c r="BZ77" s="32" t="s">
        <v>299</v>
      </c>
      <c r="CA77" s="32" t="s">
        <v>299</v>
      </c>
      <c r="CB77" s="32" t="s">
        <v>299</v>
      </c>
      <c r="CE77" s="32" t="s">
        <v>299</v>
      </c>
      <c r="CO77" s="32" t="s">
        <v>299</v>
      </c>
      <c r="CV77" s="32" t="s">
        <v>299</v>
      </c>
      <c r="CW77" s="32" t="s">
        <v>299</v>
      </c>
      <c r="CX77" s="22">
        <f t="shared" si="1"/>
        <v>56</v>
      </c>
    </row>
    <row r="78" spans="1:102" ht="16" x14ac:dyDescent="0.2">
      <c r="A78" s="22" t="s">
        <v>442</v>
      </c>
      <c r="B78" s="31" t="s">
        <v>434</v>
      </c>
      <c r="G78" s="32" t="s">
        <v>299</v>
      </c>
      <c r="P78" s="32" t="s">
        <v>299</v>
      </c>
      <c r="Y78" s="32" t="s">
        <v>299</v>
      </c>
      <c r="AA78" s="32" t="s">
        <v>299</v>
      </c>
      <c r="CX78" s="22">
        <f t="shared" si="1"/>
        <v>4</v>
      </c>
    </row>
    <row r="79" spans="1:102" ht="16" x14ac:dyDescent="0.2">
      <c r="A79" s="22" t="s">
        <v>444</v>
      </c>
      <c r="B79" s="31" t="s">
        <v>445</v>
      </c>
      <c r="C79" s="32" t="s">
        <v>299</v>
      </c>
      <c r="D79" s="32" t="s">
        <v>299</v>
      </c>
      <c r="E79" s="32" t="s">
        <v>299</v>
      </c>
      <c r="F79" s="32" t="s">
        <v>299</v>
      </c>
      <c r="G79" s="32" t="s">
        <v>299</v>
      </c>
      <c r="H79" s="32" t="s">
        <v>299</v>
      </c>
      <c r="I79" s="32" t="s">
        <v>299</v>
      </c>
      <c r="J79" s="32" t="s">
        <v>299</v>
      </c>
      <c r="K79" s="32" t="s">
        <v>299</v>
      </c>
      <c r="L79" s="32" t="s">
        <v>299</v>
      </c>
      <c r="M79" s="32" t="s">
        <v>299</v>
      </c>
      <c r="N79" s="32" t="s">
        <v>299</v>
      </c>
      <c r="O79" s="32" t="s">
        <v>299</v>
      </c>
      <c r="P79" s="32" t="s">
        <v>299</v>
      </c>
      <c r="Q79" s="32" t="s">
        <v>299</v>
      </c>
      <c r="R79" s="32" t="s">
        <v>299</v>
      </c>
      <c r="S79" s="32" t="s">
        <v>299</v>
      </c>
      <c r="T79" s="32" t="s">
        <v>299</v>
      </c>
      <c r="U79" s="32" t="s">
        <v>299</v>
      </c>
      <c r="V79" s="32" t="s">
        <v>299</v>
      </c>
      <c r="W79" s="32" t="s">
        <v>299</v>
      </c>
      <c r="X79" s="32" t="s">
        <v>299</v>
      </c>
      <c r="Y79" s="32" t="s">
        <v>299</v>
      </c>
      <c r="AA79" s="32" t="s">
        <v>299</v>
      </c>
      <c r="AB79" s="32" t="s">
        <v>299</v>
      </c>
      <c r="AC79" s="32" t="s">
        <v>299</v>
      </c>
      <c r="AD79" s="32" t="s">
        <v>299</v>
      </c>
      <c r="AE79" s="32" t="s">
        <v>299</v>
      </c>
      <c r="AF79" s="32" t="s">
        <v>299</v>
      </c>
      <c r="AG79" s="32" t="s">
        <v>299</v>
      </c>
      <c r="AH79" s="32" t="s">
        <v>299</v>
      </c>
      <c r="AI79" s="32" t="s">
        <v>299</v>
      </c>
      <c r="AJ79" s="32" t="s">
        <v>299</v>
      </c>
      <c r="AK79" s="32" t="s">
        <v>299</v>
      </c>
      <c r="AL79" s="32" t="s">
        <v>299</v>
      </c>
      <c r="AM79" s="32" t="s">
        <v>299</v>
      </c>
      <c r="AP79" s="32" t="s">
        <v>299</v>
      </c>
      <c r="AY79" s="32" t="s">
        <v>299</v>
      </c>
      <c r="BM79" s="32" t="s">
        <v>299</v>
      </c>
      <c r="BN79" s="32" t="s">
        <v>299</v>
      </c>
      <c r="BO79" s="32" t="s">
        <v>299</v>
      </c>
      <c r="BP79" s="32" t="s">
        <v>299</v>
      </c>
      <c r="BQ79" s="32" t="s">
        <v>299</v>
      </c>
      <c r="BR79" s="32" t="s">
        <v>299</v>
      </c>
      <c r="BS79" s="32" t="s">
        <v>299</v>
      </c>
      <c r="BT79" s="32" t="s">
        <v>299</v>
      </c>
      <c r="BU79" s="32" t="s">
        <v>299</v>
      </c>
      <c r="BV79" s="32" t="s">
        <v>299</v>
      </c>
      <c r="BY79" s="32" t="s">
        <v>299</v>
      </c>
      <c r="BZ79" s="32" t="s">
        <v>299</v>
      </c>
      <c r="CA79" s="32" t="s">
        <v>299</v>
      </c>
      <c r="CB79" s="32" t="s">
        <v>299</v>
      </c>
      <c r="CC79" s="32" t="s">
        <v>299</v>
      </c>
      <c r="CD79" s="32" t="s">
        <v>299</v>
      </c>
      <c r="CE79" s="32" t="s">
        <v>299</v>
      </c>
      <c r="CG79" s="32" t="s">
        <v>299</v>
      </c>
      <c r="CN79" s="32" t="s">
        <v>299</v>
      </c>
      <c r="CO79" s="32" t="s">
        <v>299</v>
      </c>
      <c r="CP79" s="32" t="s">
        <v>299</v>
      </c>
      <c r="CQ79" s="32" t="s">
        <v>299</v>
      </c>
      <c r="CT79" s="32" t="s">
        <v>299</v>
      </c>
      <c r="CX79" s="22">
        <f t="shared" si="1"/>
        <v>61</v>
      </c>
    </row>
    <row r="80" spans="1:102" ht="16" x14ac:dyDescent="0.2">
      <c r="A80" s="22" t="s">
        <v>446</v>
      </c>
      <c r="B80" s="31" t="s">
        <v>447</v>
      </c>
      <c r="G80" s="32" t="s">
        <v>299</v>
      </c>
      <c r="P80" s="32" t="s">
        <v>299</v>
      </c>
      <c r="Y80" s="32" t="s">
        <v>299</v>
      </c>
      <c r="AA80" s="32" t="s">
        <v>299</v>
      </c>
      <c r="CX80" s="22">
        <f t="shared" si="1"/>
        <v>4</v>
      </c>
    </row>
    <row r="81" spans="1:102" ht="16" x14ac:dyDescent="0.2">
      <c r="A81" s="22" t="s">
        <v>448</v>
      </c>
      <c r="B81" s="31" t="s">
        <v>449</v>
      </c>
      <c r="D81" s="32" t="s">
        <v>299</v>
      </c>
      <c r="M81" s="32" t="s">
        <v>299</v>
      </c>
      <c r="P81" s="32" t="s">
        <v>299</v>
      </c>
      <c r="CX81" s="22">
        <f t="shared" si="1"/>
        <v>3</v>
      </c>
    </row>
    <row r="82" spans="1:102" ht="16" x14ac:dyDescent="0.2">
      <c r="A82" s="22" t="s">
        <v>450</v>
      </c>
      <c r="B82" s="31" t="s">
        <v>451</v>
      </c>
      <c r="M82" s="32" t="s">
        <v>299</v>
      </c>
      <c r="P82" s="32" t="s">
        <v>299</v>
      </c>
      <c r="S82" s="32" t="s">
        <v>299</v>
      </c>
      <c r="AC82" s="32" t="s">
        <v>299</v>
      </c>
      <c r="BQ82" s="32" t="s">
        <v>299</v>
      </c>
      <c r="BR82" s="32" t="s">
        <v>299</v>
      </c>
      <c r="BU82" s="32" t="s">
        <v>299</v>
      </c>
      <c r="CX82" s="22">
        <f t="shared" si="1"/>
        <v>7</v>
      </c>
    </row>
    <row r="83" spans="1:102" ht="16" x14ac:dyDescent="0.2">
      <c r="A83" s="22" t="s">
        <v>452</v>
      </c>
      <c r="B83" s="31" t="s">
        <v>518</v>
      </c>
      <c r="M83" s="32" t="s">
        <v>299</v>
      </c>
      <c r="P83" s="32" t="s">
        <v>299</v>
      </c>
      <c r="S83" s="32" t="s">
        <v>299</v>
      </c>
      <c r="BU83" s="32" t="s">
        <v>299</v>
      </c>
      <c r="CX83" s="22">
        <f t="shared" si="1"/>
        <v>4</v>
      </c>
    </row>
    <row r="84" spans="1:102" ht="16" x14ac:dyDescent="0.2">
      <c r="A84" s="22" t="s">
        <v>454</v>
      </c>
      <c r="B84" s="31" t="s">
        <v>455</v>
      </c>
      <c r="E84" s="32" t="s">
        <v>299</v>
      </c>
      <c r="F84" s="32" t="s">
        <v>299</v>
      </c>
      <c r="G84" s="32" t="s">
        <v>299</v>
      </c>
      <c r="H84" s="32" t="s">
        <v>299</v>
      </c>
      <c r="I84" s="32" t="s">
        <v>299</v>
      </c>
      <c r="J84" s="32" t="s">
        <v>299</v>
      </c>
      <c r="K84" s="32" t="s">
        <v>299</v>
      </c>
      <c r="M84" s="32" t="s">
        <v>299</v>
      </c>
      <c r="N84" s="32" t="s">
        <v>299</v>
      </c>
      <c r="P84" s="32" t="s">
        <v>299</v>
      </c>
      <c r="Q84" s="32" t="s">
        <v>299</v>
      </c>
      <c r="R84" s="32" t="s">
        <v>299</v>
      </c>
      <c r="S84" s="32" t="s">
        <v>299</v>
      </c>
      <c r="T84" s="32" t="s">
        <v>299</v>
      </c>
      <c r="U84" s="32" t="s">
        <v>299</v>
      </c>
      <c r="V84" s="32" t="s">
        <v>299</v>
      </c>
      <c r="W84" s="32" t="s">
        <v>299</v>
      </c>
      <c r="X84" s="32" t="s">
        <v>299</v>
      </c>
      <c r="Y84" s="32" t="s">
        <v>299</v>
      </c>
      <c r="AA84" s="32" t="s">
        <v>299</v>
      </c>
      <c r="AB84" s="32" t="s">
        <v>299</v>
      </c>
      <c r="AC84" s="32" t="s">
        <v>299</v>
      </c>
      <c r="AD84" s="32" t="s">
        <v>299</v>
      </c>
      <c r="AG84" s="32" t="s">
        <v>299</v>
      </c>
      <c r="AH84" s="32" t="s">
        <v>299</v>
      </c>
      <c r="AI84" s="32" t="s">
        <v>299</v>
      </c>
      <c r="AJ84" s="32" t="s">
        <v>299</v>
      </c>
      <c r="AK84" s="32" t="s">
        <v>299</v>
      </c>
      <c r="AL84" s="32" t="s">
        <v>299</v>
      </c>
      <c r="AP84" s="32" t="s">
        <v>299</v>
      </c>
      <c r="AY84" s="32" t="s">
        <v>299</v>
      </c>
      <c r="BM84" s="32" t="s">
        <v>299</v>
      </c>
      <c r="BN84" s="32" t="s">
        <v>299</v>
      </c>
      <c r="BO84" s="32" t="s">
        <v>299</v>
      </c>
      <c r="BP84" s="32" t="s">
        <v>299</v>
      </c>
      <c r="BQ84" s="32" t="s">
        <v>299</v>
      </c>
      <c r="BR84" s="32" t="s">
        <v>299</v>
      </c>
      <c r="BS84" s="32" t="s">
        <v>299</v>
      </c>
      <c r="BT84" s="32" t="s">
        <v>299</v>
      </c>
      <c r="BU84" s="32" t="s">
        <v>299</v>
      </c>
      <c r="BV84" s="32" t="s">
        <v>299</v>
      </c>
      <c r="BY84" s="32" t="s">
        <v>299</v>
      </c>
      <c r="BZ84" s="32" t="s">
        <v>299</v>
      </c>
      <c r="CA84" s="32" t="s">
        <v>299</v>
      </c>
      <c r="CB84" s="32" t="s">
        <v>299</v>
      </c>
      <c r="CC84" s="32" t="s">
        <v>299</v>
      </c>
      <c r="CD84" s="32" t="s">
        <v>299</v>
      </c>
      <c r="CE84" s="32" t="s">
        <v>299</v>
      </c>
      <c r="CG84" s="32" t="s">
        <v>299</v>
      </c>
      <c r="CN84" s="32" t="s">
        <v>299</v>
      </c>
      <c r="CO84" s="32" t="s">
        <v>299</v>
      </c>
      <c r="CP84" s="32" t="s">
        <v>299</v>
      </c>
      <c r="CQ84" s="32" t="s">
        <v>299</v>
      </c>
      <c r="CT84" s="32" t="s">
        <v>299</v>
      </c>
      <c r="CX84" s="22">
        <f t="shared" si="1"/>
        <v>54</v>
      </c>
    </row>
    <row r="85" spans="1:102" ht="16" x14ac:dyDescent="0.2">
      <c r="A85" s="22" t="s">
        <v>456</v>
      </c>
      <c r="B85" s="31" t="s">
        <v>457</v>
      </c>
      <c r="G85" s="32" t="s">
        <v>299</v>
      </c>
      <c r="K85" s="32" t="s">
        <v>299</v>
      </c>
      <c r="M85" s="32" t="s">
        <v>299</v>
      </c>
      <c r="P85" s="32" t="s">
        <v>299</v>
      </c>
      <c r="S85" s="32" t="s">
        <v>299</v>
      </c>
      <c r="Y85" s="32" t="s">
        <v>299</v>
      </c>
      <c r="AA85" s="32" t="s">
        <v>299</v>
      </c>
      <c r="AC85" s="32" t="s">
        <v>299</v>
      </c>
      <c r="AD85" s="32" t="s">
        <v>299</v>
      </c>
      <c r="CX85" s="22">
        <f t="shared" si="1"/>
        <v>9</v>
      </c>
    </row>
    <row r="86" spans="1:102" ht="16" x14ac:dyDescent="0.2">
      <c r="A86" s="22" t="s">
        <v>458</v>
      </c>
      <c r="B86" s="31" t="s">
        <v>459</v>
      </c>
      <c r="M86" s="32" t="s">
        <v>299</v>
      </c>
      <c r="N86" s="32" t="s">
        <v>299</v>
      </c>
      <c r="P86" s="32" t="s">
        <v>299</v>
      </c>
      <c r="S86" s="32" t="s">
        <v>299</v>
      </c>
      <c r="AB86" s="32" t="s">
        <v>299</v>
      </c>
      <c r="AC86" s="32" t="s">
        <v>299</v>
      </c>
      <c r="AD86" s="32" t="s">
        <v>299</v>
      </c>
      <c r="BQ86" s="32" t="s">
        <v>299</v>
      </c>
      <c r="BR86" s="32" t="s">
        <v>299</v>
      </c>
      <c r="BS86" s="32" t="s">
        <v>299</v>
      </c>
      <c r="BU86" s="32" t="s">
        <v>299</v>
      </c>
      <c r="CX86" s="22">
        <f t="shared" si="1"/>
        <v>11</v>
      </c>
    </row>
    <row r="87" spans="1:102" ht="16" x14ac:dyDescent="0.2">
      <c r="A87" s="22" t="s">
        <v>460</v>
      </c>
      <c r="B87" s="31" t="s">
        <v>461</v>
      </c>
      <c r="E87" s="32" t="s">
        <v>299</v>
      </c>
      <c r="F87" s="32" t="s">
        <v>299</v>
      </c>
      <c r="G87" s="32" t="s">
        <v>299</v>
      </c>
      <c r="H87" s="32" t="s">
        <v>299</v>
      </c>
      <c r="M87" s="32" t="s">
        <v>299</v>
      </c>
      <c r="N87" s="32" t="s">
        <v>299</v>
      </c>
      <c r="P87" s="32" t="s">
        <v>299</v>
      </c>
      <c r="S87" s="32" t="s">
        <v>299</v>
      </c>
      <c r="Y87" s="32" t="s">
        <v>299</v>
      </c>
      <c r="AA87" s="32" t="s">
        <v>299</v>
      </c>
      <c r="AC87" s="32" t="s">
        <v>299</v>
      </c>
      <c r="AD87" s="32" t="s">
        <v>299</v>
      </c>
      <c r="BU87" s="32" t="s">
        <v>299</v>
      </c>
      <c r="BV87" s="32" t="s">
        <v>299</v>
      </c>
      <c r="CX87" s="22">
        <f t="shared" si="1"/>
        <v>14</v>
      </c>
    </row>
    <row r="88" spans="1:102" ht="16" x14ac:dyDescent="0.2">
      <c r="A88" s="22" t="s">
        <v>462</v>
      </c>
      <c r="B88" s="31" t="s">
        <v>463</v>
      </c>
      <c r="E88" s="32" t="s">
        <v>299</v>
      </c>
      <c r="F88" s="32" t="s">
        <v>299</v>
      </c>
      <c r="G88" s="32" t="s">
        <v>299</v>
      </c>
      <c r="H88" s="32" t="s">
        <v>299</v>
      </c>
      <c r="I88" s="32" t="s">
        <v>299</v>
      </c>
      <c r="J88" s="32" t="s">
        <v>299</v>
      </c>
      <c r="K88" s="32" t="s">
        <v>299</v>
      </c>
      <c r="L88" s="32" t="s">
        <v>299</v>
      </c>
      <c r="M88" s="32" t="s">
        <v>299</v>
      </c>
      <c r="N88" s="32" t="s">
        <v>299</v>
      </c>
      <c r="P88" s="32" t="s">
        <v>299</v>
      </c>
      <c r="Q88" s="32" t="s">
        <v>299</v>
      </c>
      <c r="R88" s="32" t="s">
        <v>299</v>
      </c>
      <c r="S88" s="32" t="s">
        <v>299</v>
      </c>
      <c r="X88" s="32" t="s">
        <v>299</v>
      </c>
      <c r="Y88" s="32" t="s">
        <v>299</v>
      </c>
      <c r="AA88" s="32" t="s">
        <v>299</v>
      </c>
      <c r="AB88" s="32" t="s">
        <v>299</v>
      </c>
      <c r="AC88" s="32" t="s">
        <v>299</v>
      </c>
      <c r="AD88" s="32" t="s">
        <v>299</v>
      </c>
      <c r="AG88" s="32" t="s">
        <v>299</v>
      </c>
      <c r="AH88" s="32" t="s">
        <v>299</v>
      </c>
      <c r="AI88" s="32" t="s">
        <v>299</v>
      </c>
      <c r="AJ88" s="32" t="s">
        <v>299</v>
      </c>
      <c r="AK88" s="32" t="s">
        <v>299</v>
      </c>
      <c r="AL88" s="32" t="s">
        <v>299</v>
      </c>
      <c r="AM88" s="32" t="s">
        <v>299</v>
      </c>
      <c r="AN88" s="32" t="s">
        <v>299</v>
      </c>
      <c r="AO88" s="32" t="s">
        <v>299</v>
      </c>
      <c r="AT88" s="32" t="s">
        <v>299</v>
      </c>
      <c r="AV88" s="32" t="s">
        <v>299</v>
      </c>
      <c r="AW88" s="32" t="s">
        <v>299</v>
      </c>
      <c r="AX88" s="32" t="s">
        <v>299</v>
      </c>
      <c r="AY88" s="32" t="s">
        <v>299</v>
      </c>
      <c r="AZ88" s="32" t="s">
        <v>299</v>
      </c>
      <c r="BF88" s="32" t="s">
        <v>299</v>
      </c>
      <c r="BH88" s="32" t="s">
        <v>299</v>
      </c>
      <c r="BM88" s="32" t="s">
        <v>299</v>
      </c>
      <c r="BN88" s="32" t="s">
        <v>299</v>
      </c>
      <c r="BO88" s="32" t="s">
        <v>299</v>
      </c>
      <c r="BP88" s="32" t="s">
        <v>299</v>
      </c>
      <c r="BQ88" s="32" t="s">
        <v>299</v>
      </c>
      <c r="BR88" s="32" t="s">
        <v>299</v>
      </c>
      <c r="BS88" s="32" t="s">
        <v>299</v>
      </c>
      <c r="BT88" s="32" t="s">
        <v>299</v>
      </c>
      <c r="BU88" s="32" t="s">
        <v>299</v>
      </c>
      <c r="BV88" s="32" t="s">
        <v>299</v>
      </c>
      <c r="BW88" s="32" t="s">
        <v>299</v>
      </c>
      <c r="BY88" s="32" t="s">
        <v>299</v>
      </c>
      <c r="BZ88" s="32" t="s">
        <v>299</v>
      </c>
      <c r="CB88" s="32" t="s">
        <v>299</v>
      </c>
      <c r="CG88" s="32" t="s">
        <v>299</v>
      </c>
      <c r="CH88" s="32" t="s">
        <v>299</v>
      </c>
      <c r="CI88" s="32" t="s">
        <v>299</v>
      </c>
      <c r="CJ88" s="32" t="s">
        <v>299</v>
      </c>
      <c r="CL88" s="32" t="s">
        <v>299</v>
      </c>
      <c r="CM88" s="32" t="s">
        <v>299</v>
      </c>
      <c r="CS88" s="32" t="s">
        <v>299</v>
      </c>
      <c r="CT88" s="32" t="s">
        <v>299</v>
      </c>
      <c r="CX88" s="22">
        <f t="shared" si="1"/>
        <v>59</v>
      </c>
    </row>
    <row r="89" spans="1:102" ht="16" x14ac:dyDescent="0.2">
      <c r="A89" s="22" t="s">
        <v>464</v>
      </c>
      <c r="B89" s="31" t="s">
        <v>465</v>
      </c>
      <c r="E89" s="32" t="s">
        <v>299</v>
      </c>
      <c r="F89" s="32" t="s">
        <v>299</v>
      </c>
      <c r="G89" s="32" t="s">
        <v>299</v>
      </c>
      <c r="H89" s="32" t="s">
        <v>299</v>
      </c>
      <c r="I89" s="32" t="s">
        <v>299</v>
      </c>
      <c r="J89" s="32" t="s">
        <v>299</v>
      </c>
      <c r="K89" s="32" t="s">
        <v>299</v>
      </c>
      <c r="M89" s="32" t="s">
        <v>299</v>
      </c>
      <c r="N89" s="32" t="s">
        <v>299</v>
      </c>
      <c r="P89" s="32" t="s">
        <v>299</v>
      </c>
      <c r="Q89" s="32" t="s">
        <v>299</v>
      </c>
      <c r="R89" s="32" t="s">
        <v>299</v>
      </c>
      <c r="S89" s="32" t="s">
        <v>299</v>
      </c>
      <c r="T89" s="32" t="s">
        <v>299</v>
      </c>
      <c r="W89" s="32" t="s">
        <v>299</v>
      </c>
      <c r="X89" s="32" t="s">
        <v>299</v>
      </c>
      <c r="Y89" s="32" t="s">
        <v>299</v>
      </c>
      <c r="AA89" s="32" t="s">
        <v>299</v>
      </c>
      <c r="AB89" s="32" t="s">
        <v>299</v>
      </c>
      <c r="AC89" s="32" t="s">
        <v>299</v>
      </c>
      <c r="AD89" s="32" t="s">
        <v>299</v>
      </c>
      <c r="AE89" s="32" t="s">
        <v>299</v>
      </c>
      <c r="AF89" s="32" t="s">
        <v>299</v>
      </c>
      <c r="AG89" s="32" t="s">
        <v>299</v>
      </c>
      <c r="AH89" s="32" t="s">
        <v>299</v>
      </c>
      <c r="AI89" s="32" t="s">
        <v>299</v>
      </c>
      <c r="BQ89" s="32" t="s">
        <v>299</v>
      </c>
      <c r="BS89" s="32" t="s">
        <v>299</v>
      </c>
      <c r="BU89" s="32" t="s">
        <v>299</v>
      </c>
      <c r="BV89" s="32" t="s">
        <v>299</v>
      </c>
      <c r="CX89" s="22">
        <f t="shared" si="1"/>
        <v>30</v>
      </c>
    </row>
    <row r="90" spans="1:102" ht="16" x14ac:dyDescent="0.2">
      <c r="A90" s="22" t="s">
        <v>466</v>
      </c>
      <c r="B90" s="31" t="s">
        <v>519</v>
      </c>
      <c r="G90" s="32" t="s">
        <v>299</v>
      </c>
      <c r="H90" s="32" t="s">
        <v>299</v>
      </c>
      <c r="I90" s="32" t="s">
        <v>299</v>
      </c>
      <c r="J90" s="32" t="s">
        <v>299</v>
      </c>
      <c r="K90" s="32" t="s">
        <v>299</v>
      </c>
      <c r="M90" s="32" t="s">
        <v>299</v>
      </c>
      <c r="N90" s="32" t="s">
        <v>299</v>
      </c>
      <c r="P90" s="32" t="s">
        <v>299</v>
      </c>
      <c r="R90" s="32" t="s">
        <v>299</v>
      </c>
      <c r="S90" s="32" t="s">
        <v>299</v>
      </c>
      <c r="T90" s="32" t="s">
        <v>299</v>
      </c>
      <c r="U90" s="32" t="s">
        <v>299</v>
      </c>
      <c r="V90" s="32" t="s">
        <v>299</v>
      </c>
      <c r="W90" s="32" t="s">
        <v>299</v>
      </c>
      <c r="X90" s="32" t="s">
        <v>299</v>
      </c>
      <c r="Y90" s="32" t="s">
        <v>299</v>
      </c>
      <c r="AA90" s="32" t="s">
        <v>299</v>
      </c>
      <c r="AB90" s="32" t="s">
        <v>299</v>
      </c>
      <c r="AC90" s="32" t="s">
        <v>299</v>
      </c>
      <c r="AD90" s="32" t="s">
        <v>299</v>
      </c>
      <c r="AG90" s="32" t="s">
        <v>299</v>
      </c>
      <c r="AH90" s="32" t="s">
        <v>299</v>
      </c>
      <c r="AI90" s="32" t="s">
        <v>299</v>
      </c>
      <c r="AJ90" s="32" t="s">
        <v>299</v>
      </c>
      <c r="AK90" s="32" t="s">
        <v>299</v>
      </c>
      <c r="AL90" s="32" t="s">
        <v>299</v>
      </c>
      <c r="AP90" s="32" t="s">
        <v>299</v>
      </c>
      <c r="AY90" s="32" t="s">
        <v>299</v>
      </c>
      <c r="BM90" s="32" t="s">
        <v>299</v>
      </c>
      <c r="BN90" s="32" t="s">
        <v>299</v>
      </c>
      <c r="BO90" s="32" t="s">
        <v>299</v>
      </c>
      <c r="BP90" s="32" t="s">
        <v>299</v>
      </c>
      <c r="BQ90" s="32" t="s">
        <v>299</v>
      </c>
      <c r="BR90" s="32" t="s">
        <v>299</v>
      </c>
      <c r="BS90" s="32" t="s">
        <v>299</v>
      </c>
      <c r="BT90" s="32" t="s">
        <v>299</v>
      </c>
      <c r="BU90" s="32" t="s">
        <v>299</v>
      </c>
      <c r="BV90" s="32" t="s">
        <v>299</v>
      </c>
      <c r="BY90" s="32" t="s">
        <v>299</v>
      </c>
      <c r="BZ90" s="32" t="s">
        <v>299</v>
      </c>
      <c r="CA90" s="32" t="s">
        <v>299</v>
      </c>
      <c r="CB90" s="32" t="s">
        <v>299</v>
      </c>
      <c r="CC90" s="32" t="s">
        <v>299</v>
      </c>
      <c r="CD90" s="32" t="s">
        <v>299</v>
      </c>
      <c r="CE90" s="32" t="s">
        <v>299</v>
      </c>
      <c r="CG90" s="32" t="s">
        <v>299</v>
      </c>
      <c r="CN90" s="32" t="s">
        <v>299</v>
      </c>
      <c r="CO90" s="32" t="s">
        <v>299</v>
      </c>
      <c r="CP90" s="32" t="s">
        <v>299</v>
      </c>
      <c r="CQ90" s="32" t="s">
        <v>299</v>
      </c>
      <c r="CT90" s="32" t="s">
        <v>299</v>
      </c>
      <c r="CX90" s="22">
        <f t="shared" si="1"/>
        <v>51</v>
      </c>
    </row>
    <row r="91" spans="1:102" ht="16" x14ac:dyDescent="0.2">
      <c r="A91" s="22" t="s">
        <v>468</v>
      </c>
      <c r="B91" s="31" t="s">
        <v>315</v>
      </c>
      <c r="P91" s="32" t="s">
        <v>299</v>
      </c>
      <c r="S91" s="32" t="s">
        <v>299</v>
      </c>
      <c r="AD91" s="32" t="s">
        <v>299</v>
      </c>
      <c r="AG91" s="32" t="s">
        <v>299</v>
      </c>
      <c r="AH91" s="32" t="s">
        <v>299</v>
      </c>
      <c r="BQ91" s="32" t="s">
        <v>299</v>
      </c>
      <c r="BS91" s="32" t="s">
        <v>299</v>
      </c>
      <c r="BU91" s="32" t="s">
        <v>299</v>
      </c>
      <c r="CX91" s="22">
        <f t="shared" si="1"/>
        <v>8</v>
      </c>
    </row>
    <row r="92" spans="1:102" ht="16" x14ac:dyDescent="0.2">
      <c r="A92" s="22" t="s">
        <v>469</v>
      </c>
      <c r="B92" s="31" t="s">
        <v>470</v>
      </c>
      <c r="G92" s="32" t="s">
        <v>299</v>
      </c>
      <c r="M92" s="32" t="s">
        <v>299</v>
      </c>
      <c r="Y92" s="32" t="s">
        <v>299</v>
      </c>
      <c r="AA92" s="32" t="s">
        <v>299</v>
      </c>
      <c r="AC92" s="32" t="s">
        <v>299</v>
      </c>
      <c r="AD92" s="32" t="s">
        <v>299</v>
      </c>
      <c r="BQ92" s="32" t="s">
        <v>299</v>
      </c>
      <c r="BR92" s="32" t="s">
        <v>299</v>
      </c>
      <c r="BU92" s="32" t="s">
        <v>299</v>
      </c>
      <c r="BV92" s="32" t="s">
        <v>299</v>
      </c>
      <c r="CX92" s="22">
        <f t="shared" si="1"/>
        <v>10</v>
      </c>
    </row>
    <row r="93" spans="1:102" ht="16" x14ac:dyDescent="0.2">
      <c r="A93" s="22" t="s">
        <v>471</v>
      </c>
      <c r="B93" s="31" t="s">
        <v>472</v>
      </c>
      <c r="C93" s="32" t="s">
        <v>299</v>
      </c>
      <c r="D93" s="32" t="s">
        <v>299</v>
      </c>
      <c r="E93" s="32" t="s">
        <v>299</v>
      </c>
      <c r="F93" s="32" t="s">
        <v>299</v>
      </c>
      <c r="G93" s="32" t="s">
        <v>299</v>
      </c>
      <c r="H93" s="32" t="s">
        <v>299</v>
      </c>
      <c r="I93" s="32" t="s">
        <v>299</v>
      </c>
      <c r="J93" s="32" t="s">
        <v>299</v>
      </c>
      <c r="K93" s="32" t="s">
        <v>299</v>
      </c>
      <c r="L93" s="32" t="s">
        <v>299</v>
      </c>
      <c r="M93" s="32" t="s">
        <v>299</v>
      </c>
      <c r="N93" s="32" t="s">
        <v>299</v>
      </c>
      <c r="O93" s="32" t="s">
        <v>299</v>
      </c>
      <c r="P93" s="32" t="s">
        <v>299</v>
      </c>
      <c r="Q93" s="32" t="s">
        <v>299</v>
      </c>
      <c r="R93" s="32" t="s">
        <v>299</v>
      </c>
      <c r="S93" s="32" t="s">
        <v>299</v>
      </c>
      <c r="T93" s="32" t="s">
        <v>299</v>
      </c>
      <c r="W93" s="32" t="s">
        <v>299</v>
      </c>
      <c r="X93" s="32" t="s">
        <v>299</v>
      </c>
      <c r="Y93" s="32" t="s">
        <v>299</v>
      </c>
      <c r="Z93" s="32" t="s">
        <v>299</v>
      </c>
      <c r="AA93" s="32" t="s">
        <v>299</v>
      </c>
      <c r="AB93" s="32" t="s">
        <v>299</v>
      </c>
      <c r="AC93" s="32" t="s">
        <v>299</v>
      </c>
      <c r="AD93" s="32" t="s">
        <v>299</v>
      </c>
      <c r="AE93" s="32" t="s">
        <v>299</v>
      </c>
      <c r="AF93" s="32" t="s">
        <v>299</v>
      </c>
      <c r="AG93" s="32" t="s">
        <v>299</v>
      </c>
      <c r="AH93" s="32" t="s">
        <v>299</v>
      </c>
      <c r="AI93" s="32" t="s">
        <v>299</v>
      </c>
      <c r="AJ93" s="32" t="s">
        <v>299</v>
      </c>
      <c r="AK93" s="32" t="s">
        <v>299</v>
      </c>
      <c r="AL93" s="32" t="s">
        <v>299</v>
      </c>
      <c r="AM93" s="32" t="s">
        <v>299</v>
      </c>
      <c r="AP93" s="32" t="s">
        <v>299</v>
      </c>
      <c r="AT93" s="32" t="s">
        <v>299</v>
      </c>
      <c r="AY93" s="32" t="s">
        <v>299</v>
      </c>
      <c r="BQ93" s="32" t="s">
        <v>299</v>
      </c>
      <c r="BR93" s="32" t="s">
        <v>299</v>
      </c>
      <c r="BS93" s="32" t="s">
        <v>299</v>
      </c>
      <c r="BT93" s="32" t="s">
        <v>299</v>
      </c>
      <c r="BU93" s="32" t="s">
        <v>299</v>
      </c>
      <c r="BV93" s="32" t="s">
        <v>299</v>
      </c>
      <c r="CB93" s="32" t="s">
        <v>299</v>
      </c>
      <c r="CE93" s="32" t="s">
        <v>299</v>
      </c>
      <c r="CH93" s="32" t="s">
        <v>299</v>
      </c>
      <c r="CO93" s="32" t="s">
        <v>299</v>
      </c>
      <c r="CU93" s="32" t="s">
        <v>299</v>
      </c>
      <c r="CX93" s="22">
        <f t="shared" si="1"/>
        <v>49</v>
      </c>
    </row>
    <row r="94" spans="1:102" ht="16" x14ac:dyDescent="0.2">
      <c r="A94" s="22" t="s">
        <v>473</v>
      </c>
      <c r="B94" s="31" t="s">
        <v>474</v>
      </c>
      <c r="D94" s="32" t="s">
        <v>299</v>
      </c>
      <c r="E94" s="32" t="s">
        <v>299</v>
      </c>
      <c r="F94" s="32" t="s">
        <v>299</v>
      </c>
      <c r="G94" s="32" t="s">
        <v>299</v>
      </c>
      <c r="H94" s="32" t="s">
        <v>299</v>
      </c>
      <c r="I94" s="32" t="s">
        <v>299</v>
      </c>
      <c r="J94" s="32" t="s">
        <v>299</v>
      </c>
      <c r="M94" s="32" t="s">
        <v>299</v>
      </c>
      <c r="N94" s="32" t="s">
        <v>299</v>
      </c>
      <c r="P94" s="32" t="s">
        <v>299</v>
      </c>
      <c r="Q94" s="32" t="s">
        <v>299</v>
      </c>
      <c r="R94" s="32" t="s">
        <v>299</v>
      </c>
      <c r="S94" s="32" t="s">
        <v>299</v>
      </c>
      <c r="T94" s="32" t="s">
        <v>299</v>
      </c>
      <c r="W94" s="32" t="s">
        <v>299</v>
      </c>
      <c r="X94" s="32" t="s">
        <v>299</v>
      </c>
      <c r="Y94" s="32" t="s">
        <v>299</v>
      </c>
      <c r="AA94" s="32" t="s">
        <v>299</v>
      </c>
      <c r="AC94" s="32" t="s">
        <v>299</v>
      </c>
      <c r="AD94" s="32" t="s">
        <v>299</v>
      </c>
      <c r="AH94" s="32" t="s">
        <v>299</v>
      </c>
      <c r="AI94" s="32" t="s">
        <v>299</v>
      </c>
      <c r="AY94" s="32" t="s">
        <v>299</v>
      </c>
      <c r="BU94" s="32" t="s">
        <v>299</v>
      </c>
      <c r="BV94" s="32" t="s">
        <v>299</v>
      </c>
      <c r="CX94" s="22">
        <f t="shared" si="1"/>
        <v>25</v>
      </c>
    </row>
    <row r="95" spans="1:102" ht="16" x14ac:dyDescent="0.2">
      <c r="A95" s="22" t="s">
        <v>475</v>
      </c>
      <c r="B95" s="31" t="s">
        <v>520</v>
      </c>
      <c r="E95" s="32" t="s">
        <v>299</v>
      </c>
      <c r="F95" s="32" t="s">
        <v>299</v>
      </c>
      <c r="G95" s="32" t="s">
        <v>299</v>
      </c>
      <c r="H95" s="32" t="s">
        <v>299</v>
      </c>
      <c r="I95" s="32" t="s">
        <v>299</v>
      </c>
      <c r="J95" s="32" t="s">
        <v>299</v>
      </c>
      <c r="K95" s="32" t="s">
        <v>299</v>
      </c>
      <c r="M95" s="32" t="s">
        <v>299</v>
      </c>
      <c r="N95" s="32" t="s">
        <v>299</v>
      </c>
      <c r="P95" s="32" t="s">
        <v>299</v>
      </c>
      <c r="R95" s="32" t="s">
        <v>299</v>
      </c>
      <c r="S95" s="32" t="s">
        <v>299</v>
      </c>
      <c r="T95" s="32" t="s">
        <v>299</v>
      </c>
      <c r="U95" s="32" t="s">
        <v>299</v>
      </c>
      <c r="V95" s="32" t="s">
        <v>299</v>
      </c>
      <c r="W95" s="32" t="s">
        <v>299</v>
      </c>
      <c r="X95" s="32" t="s">
        <v>299</v>
      </c>
      <c r="Y95" s="32" t="s">
        <v>299</v>
      </c>
      <c r="AA95" s="32" t="s">
        <v>299</v>
      </c>
      <c r="AB95" s="32" t="s">
        <v>299</v>
      </c>
      <c r="AD95" s="32" t="s">
        <v>299</v>
      </c>
      <c r="AG95" s="32" t="s">
        <v>299</v>
      </c>
      <c r="AH95" s="32" t="s">
        <v>299</v>
      </c>
      <c r="AI95" s="32" t="s">
        <v>299</v>
      </c>
      <c r="AJ95" s="32" t="s">
        <v>299</v>
      </c>
      <c r="AK95" s="32" t="s">
        <v>299</v>
      </c>
      <c r="AL95" s="32" t="s">
        <v>299</v>
      </c>
      <c r="AP95" s="32" t="s">
        <v>299</v>
      </c>
      <c r="AY95" s="32" t="s">
        <v>299</v>
      </c>
      <c r="BM95" s="32" t="s">
        <v>299</v>
      </c>
      <c r="BN95" s="32" t="s">
        <v>299</v>
      </c>
      <c r="BO95" s="32" t="s">
        <v>299</v>
      </c>
      <c r="BP95" s="32" t="s">
        <v>299</v>
      </c>
      <c r="BQ95" s="32" t="s">
        <v>299</v>
      </c>
      <c r="BR95" s="32" t="s">
        <v>299</v>
      </c>
      <c r="BS95" s="32" t="s">
        <v>299</v>
      </c>
      <c r="BT95" s="32" t="s">
        <v>299</v>
      </c>
      <c r="BU95" s="32" t="s">
        <v>299</v>
      </c>
      <c r="BV95" s="32" t="s">
        <v>299</v>
      </c>
      <c r="BY95" s="32" t="s">
        <v>299</v>
      </c>
      <c r="BZ95" s="32" t="s">
        <v>299</v>
      </c>
      <c r="CA95" s="32" t="s">
        <v>299</v>
      </c>
      <c r="CB95" s="32" t="s">
        <v>299</v>
      </c>
      <c r="CC95" s="32" t="s">
        <v>299</v>
      </c>
      <c r="CD95" s="32" t="s">
        <v>299</v>
      </c>
      <c r="CE95" s="32" t="s">
        <v>299</v>
      </c>
      <c r="CG95" s="32" t="s">
        <v>299</v>
      </c>
      <c r="CN95" s="32" t="s">
        <v>299</v>
      </c>
      <c r="CO95" s="32" t="s">
        <v>299</v>
      </c>
      <c r="CP95" s="32" t="s">
        <v>299</v>
      </c>
      <c r="CQ95" s="32" t="s">
        <v>299</v>
      </c>
      <c r="CT95" s="32" t="s">
        <v>299</v>
      </c>
      <c r="CX95" s="22">
        <f t="shared" si="1"/>
        <v>52</v>
      </c>
    </row>
    <row r="96" spans="1:102" ht="16" x14ac:dyDescent="0.2">
      <c r="A96" s="22" t="s">
        <v>477</v>
      </c>
      <c r="B96" s="31" t="s">
        <v>478</v>
      </c>
      <c r="G96" s="32" t="s">
        <v>299</v>
      </c>
      <c r="K96" s="32" t="s">
        <v>299</v>
      </c>
      <c r="M96" s="32" t="s">
        <v>299</v>
      </c>
      <c r="P96" s="32" t="s">
        <v>299</v>
      </c>
      <c r="S96" s="32" t="s">
        <v>299</v>
      </c>
      <c r="Y96" s="32" t="s">
        <v>299</v>
      </c>
      <c r="AA96" s="32" t="s">
        <v>299</v>
      </c>
      <c r="BQ96" s="32" t="s">
        <v>299</v>
      </c>
      <c r="BS96" s="32" t="s">
        <v>299</v>
      </c>
      <c r="BU96" s="32" t="s">
        <v>299</v>
      </c>
      <c r="BV96" s="32" t="s">
        <v>299</v>
      </c>
      <c r="CX96" s="22">
        <f t="shared" si="1"/>
        <v>11</v>
      </c>
    </row>
    <row r="97" spans="1:102" ht="16" x14ac:dyDescent="0.2">
      <c r="A97" s="22" t="s">
        <v>479</v>
      </c>
      <c r="B97" s="31" t="s">
        <v>521</v>
      </c>
      <c r="CX97" s="22">
        <f t="shared" si="1"/>
        <v>0</v>
      </c>
    </row>
    <row r="98" spans="1:102" ht="16" x14ac:dyDescent="0.2">
      <c r="A98" s="22" t="s">
        <v>481</v>
      </c>
      <c r="B98" s="31" t="s">
        <v>382</v>
      </c>
      <c r="C98" s="32" t="s">
        <v>299</v>
      </c>
      <c r="D98" s="32" t="s">
        <v>299</v>
      </c>
      <c r="E98" s="32" t="s">
        <v>299</v>
      </c>
      <c r="F98" s="32" t="s">
        <v>299</v>
      </c>
      <c r="G98" s="32" t="s">
        <v>299</v>
      </c>
      <c r="H98" s="32" t="s">
        <v>299</v>
      </c>
      <c r="I98" s="32" t="s">
        <v>299</v>
      </c>
      <c r="J98" s="32" t="s">
        <v>299</v>
      </c>
      <c r="K98" s="32" t="s">
        <v>299</v>
      </c>
      <c r="L98" s="32" t="s">
        <v>299</v>
      </c>
      <c r="M98" s="32" t="s">
        <v>299</v>
      </c>
      <c r="N98" s="32" t="s">
        <v>299</v>
      </c>
      <c r="O98" s="32" t="s">
        <v>299</v>
      </c>
      <c r="P98" s="32" t="s">
        <v>299</v>
      </c>
      <c r="R98" s="32" t="s">
        <v>299</v>
      </c>
      <c r="S98" s="32" t="s">
        <v>299</v>
      </c>
      <c r="AG98" s="32" t="s">
        <v>299</v>
      </c>
      <c r="AH98" s="32" t="s">
        <v>299</v>
      </c>
      <c r="AI98" s="32" t="s">
        <v>299</v>
      </c>
      <c r="AJ98" s="32" t="s">
        <v>299</v>
      </c>
      <c r="AK98" s="32" t="s">
        <v>299</v>
      </c>
      <c r="AL98" s="32" t="s">
        <v>299</v>
      </c>
      <c r="AP98" s="32" t="s">
        <v>299</v>
      </c>
      <c r="AY98" s="32" t="s">
        <v>299</v>
      </c>
      <c r="BM98" s="32" t="s">
        <v>299</v>
      </c>
      <c r="BN98" s="32" t="s">
        <v>299</v>
      </c>
      <c r="BO98" s="32" t="s">
        <v>299</v>
      </c>
      <c r="BP98" s="32" t="s">
        <v>299</v>
      </c>
      <c r="BQ98" s="32" t="s">
        <v>299</v>
      </c>
      <c r="BR98" s="32" t="s">
        <v>299</v>
      </c>
      <c r="BS98" s="32" t="s">
        <v>299</v>
      </c>
      <c r="BT98" s="32" t="s">
        <v>299</v>
      </c>
      <c r="BY98" s="32" t="s">
        <v>299</v>
      </c>
      <c r="BZ98" s="32" t="s">
        <v>299</v>
      </c>
      <c r="CA98" s="32" t="s">
        <v>299</v>
      </c>
      <c r="CB98" s="32" t="s">
        <v>299</v>
      </c>
      <c r="CC98" s="32" t="s">
        <v>299</v>
      </c>
      <c r="CD98" s="32" t="s">
        <v>299</v>
      </c>
      <c r="CE98" s="32" t="s">
        <v>299</v>
      </c>
      <c r="CG98" s="32" t="s">
        <v>299</v>
      </c>
      <c r="CN98" s="32" t="s">
        <v>299</v>
      </c>
      <c r="CO98" s="32" t="s">
        <v>299</v>
      </c>
      <c r="CP98" s="32" t="s">
        <v>299</v>
      </c>
      <c r="CQ98" s="32" t="s">
        <v>299</v>
      </c>
      <c r="CT98" s="32" t="s">
        <v>299</v>
      </c>
      <c r="CX98" s="22">
        <f t="shared" si="1"/>
        <v>45</v>
      </c>
    </row>
    <row r="99" spans="1:102" ht="16" x14ac:dyDescent="0.2">
      <c r="A99" s="22" t="s">
        <v>483</v>
      </c>
      <c r="B99" s="31" t="s">
        <v>484</v>
      </c>
      <c r="E99" s="32" t="s">
        <v>299</v>
      </c>
      <c r="G99" s="32" t="s">
        <v>299</v>
      </c>
      <c r="H99" s="32" t="s">
        <v>299</v>
      </c>
      <c r="I99" s="32" t="s">
        <v>299</v>
      </c>
      <c r="J99" s="32" t="s">
        <v>299</v>
      </c>
      <c r="M99" s="32" t="s">
        <v>299</v>
      </c>
      <c r="N99" s="32" t="s">
        <v>299</v>
      </c>
      <c r="P99" s="32" t="s">
        <v>299</v>
      </c>
      <c r="Q99" s="32" t="s">
        <v>299</v>
      </c>
      <c r="R99" s="32" t="s">
        <v>299</v>
      </c>
      <c r="S99" s="32" t="s">
        <v>299</v>
      </c>
      <c r="X99" s="32" t="s">
        <v>299</v>
      </c>
      <c r="Y99" s="32" t="s">
        <v>299</v>
      </c>
      <c r="AA99" s="32" t="s">
        <v>299</v>
      </c>
      <c r="AB99" s="32" t="s">
        <v>299</v>
      </c>
      <c r="AC99" s="32" t="s">
        <v>299</v>
      </c>
      <c r="AD99" s="32" t="s">
        <v>299</v>
      </c>
      <c r="AG99" s="32" t="s">
        <v>299</v>
      </c>
      <c r="AH99" s="32" t="s">
        <v>299</v>
      </c>
      <c r="AI99" s="32" t="s">
        <v>299</v>
      </c>
      <c r="BQ99" s="32" t="s">
        <v>299</v>
      </c>
      <c r="BR99" s="32" t="s">
        <v>299</v>
      </c>
      <c r="BS99" s="32" t="s">
        <v>299</v>
      </c>
      <c r="BU99" s="32" t="s">
        <v>299</v>
      </c>
      <c r="BV99" s="32" t="s">
        <v>299</v>
      </c>
      <c r="CX99" s="22">
        <f t="shared" si="1"/>
        <v>25</v>
      </c>
    </row>
    <row r="100" spans="1:102" ht="16" x14ac:dyDescent="0.2">
      <c r="A100" s="22" t="s">
        <v>485</v>
      </c>
      <c r="B100" s="31" t="s">
        <v>96</v>
      </c>
      <c r="D100" s="32" t="s">
        <v>299</v>
      </c>
      <c r="E100" s="32" t="s">
        <v>299</v>
      </c>
      <c r="G100" s="32" t="s">
        <v>299</v>
      </c>
      <c r="H100" s="32" t="s">
        <v>299</v>
      </c>
      <c r="I100" s="32" t="s">
        <v>299</v>
      </c>
      <c r="J100" s="32" t="s">
        <v>299</v>
      </c>
      <c r="M100" s="32" t="s">
        <v>299</v>
      </c>
      <c r="N100" s="32" t="s">
        <v>299</v>
      </c>
      <c r="P100" s="32" t="s">
        <v>299</v>
      </c>
      <c r="Q100" s="32" t="s">
        <v>299</v>
      </c>
      <c r="R100" s="32" t="s">
        <v>299</v>
      </c>
      <c r="S100" s="32" t="s">
        <v>299</v>
      </c>
      <c r="T100" s="32" t="s">
        <v>299</v>
      </c>
      <c r="W100" s="32" t="s">
        <v>299</v>
      </c>
      <c r="X100" s="32" t="s">
        <v>299</v>
      </c>
      <c r="Y100" s="32" t="s">
        <v>299</v>
      </c>
      <c r="AA100" s="32" t="s">
        <v>299</v>
      </c>
      <c r="AB100" s="32" t="s">
        <v>299</v>
      </c>
      <c r="AI100" s="32" t="s">
        <v>299</v>
      </c>
      <c r="AP100" s="32" t="s">
        <v>299</v>
      </c>
      <c r="AT100" s="32" t="s">
        <v>299</v>
      </c>
      <c r="AY100" s="32" t="s">
        <v>299</v>
      </c>
      <c r="BA100" s="32" t="s">
        <v>299</v>
      </c>
      <c r="BB100" s="32" t="s">
        <v>299</v>
      </c>
      <c r="BC100" s="32" t="s">
        <v>299</v>
      </c>
      <c r="BD100" s="32" t="s">
        <v>299</v>
      </c>
      <c r="BE100" s="32" t="s">
        <v>299</v>
      </c>
      <c r="BG100" s="32" t="s">
        <v>299</v>
      </c>
      <c r="BH100" s="32" t="s">
        <v>299</v>
      </c>
      <c r="BI100" s="32" t="s">
        <v>299</v>
      </c>
      <c r="BJ100" s="32" t="s">
        <v>299</v>
      </c>
      <c r="BK100" s="32" t="s">
        <v>299</v>
      </c>
      <c r="BL100" s="32" t="s">
        <v>299</v>
      </c>
      <c r="BM100" s="32" t="s">
        <v>299</v>
      </c>
      <c r="BN100" s="32" t="s">
        <v>299</v>
      </c>
      <c r="BO100" s="32" t="s">
        <v>299</v>
      </c>
      <c r="BP100" s="32" t="s">
        <v>299</v>
      </c>
      <c r="BQ100" s="32" t="s">
        <v>299</v>
      </c>
      <c r="BR100" s="32" t="s">
        <v>299</v>
      </c>
      <c r="BS100" s="32" t="s">
        <v>299</v>
      </c>
      <c r="BT100" s="32" t="s">
        <v>299</v>
      </c>
      <c r="BU100" s="32" t="s">
        <v>299</v>
      </c>
      <c r="BV100" s="32" t="s">
        <v>299</v>
      </c>
      <c r="BY100" s="32" t="s">
        <v>299</v>
      </c>
      <c r="CG100" s="32" t="s">
        <v>299</v>
      </c>
      <c r="CH100" s="32" t="s">
        <v>299</v>
      </c>
      <c r="CO100" s="32" t="s">
        <v>299</v>
      </c>
      <c r="CU100" s="32" t="s">
        <v>299</v>
      </c>
      <c r="CX100" s="22">
        <f t="shared" si="1"/>
        <v>48</v>
      </c>
    </row>
    <row r="101" spans="1:102" ht="16" x14ac:dyDescent="0.2">
      <c r="A101" s="22" t="s">
        <v>486</v>
      </c>
      <c r="B101" s="31" t="s">
        <v>487</v>
      </c>
      <c r="D101" s="32" t="s">
        <v>299</v>
      </c>
      <c r="E101" s="32" t="s">
        <v>299</v>
      </c>
      <c r="G101" s="32" t="s">
        <v>299</v>
      </c>
      <c r="J101" s="32" t="s">
        <v>299</v>
      </c>
      <c r="M101" s="32" t="s">
        <v>299</v>
      </c>
      <c r="N101" s="32" t="s">
        <v>299</v>
      </c>
      <c r="P101" s="32" t="s">
        <v>299</v>
      </c>
      <c r="Q101" s="32" t="s">
        <v>299</v>
      </c>
      <c r="R101" s="32" t="s">
        <v>299</v>
      </c>
      <c r="S101" s="32" t="s">
        <v>299</v>
      </c>
      <c r="X101" s="32" t="s">
        <v>299</v>
      </c>
      <c r="Y101" s="32" t="s">
        <v>299</v>
      </c>
      <c r="AA101" s="32" t="s">
        <v>299</v>
      </c>
      <c r="AB101" s="32" t="s">
        <v>299</v>
      </c>
      <c r="AC101" s="32" t="s">
        <v>299</v>
      </c>
      <c r="AD101" s="32" t="s">
        <v>299</v>
      </c>
      <c r="AG101" s="32" t="s">
        <v>299</v>
      </c>
      <c r="AH101" s="32" t="s">
        <v>299</v>
      </c>
      <c r="AI101" s="32" t="s">
        <v>299</v>
      </c>
      <c r="BQ101" s="32" t="s">
        <v>299</v>
      </c>
      <c r="BR101" s="32" t="s">
        <v>299</v>
      </c>
      <c r="BS101" s="32" t="s">
        <v>299</v>
      </c>
      <c r="BU101" s="32" t="s">
        <v>299</v>
      </c>
      <c r="BV101" s="32" t="s">
        <v>299</v>
      </c>
      <c r="CX101" s="22">
        <f t="shared" si="1"/>
        <v>24</v>
      </c>
    </row>
    <row r="102" spans="1:102" ht="16" x14ac:dyDescent="0.2">
      <c r="A102" s="22" t="s">
        <v>488</v>
      </c>
      <c r="B102" s="31" t="s">
        <v>489</v>
      </c>
      <c r="F102" s="32" t="s">
        <v>299</v>
      </c>
      <c r="G102" s="32" t="s">
        <v>299</v>
      </c>
      <c r="H102" s="32" t="s">
        <v>299</v>
      </c>
      <c r="I102" s="32" t="s">
        <v>299</v>
      </c>
      <c r="J102" s="32" t="s">
        <v>299</v>
      </c>
      <c r="M102" s="32" t="s">
        <v>299</v>
      </c>
      <c r="N102" s="32" t="s">
        <v>299</v>
      </c>
      <c r="P102" s="32" t="s">
        <v>299</v>
      </c>
      <c r="Q102" s="32" t="s">
        <v>299</v>
      </c>
      <c r="R102" s="32" t="s">
        <v>299</v>
      </c>
      <c r="S102" s="32" t="s">
        <v>299</v>
      </c>
      <c r="T102" s="32" t="s">
        <v>299</v>
      </c>
      <c r="U102" s="32" t="s">
        <v>299</v>
      </c>
      <c r="V102" s="32" t="s">
        <v>299</v>
      </c>
      <c r="W102" s="32" t="s">
        <v>299</v>
      </c>
      <c r="X102" s="32" t="s">
        <v>299</v>
      </c>
      <c r="Y102" s="32" t="s">
        <v>299</v>
      </c>
      <c r="AA102" s="32" t="s">
        <v>299</v>
      </c>
      <c r="AB102" s="32" t="s">
        <v>299</v>
      </c>
      <c r="AC102" s="32" t="s">
        <v>299</v>
      </c>
      <c r="AD102" s="32" t="s">
        <v>299</v>
      </c>
      <c r="AE102" s="32" t="s">
        <v>299</v>
      </c>
      <c r="AF102" s="32" t="s">
        <v>299</v>
      </c>
      <c r="AG102" s="32" t="s">
        <v>299</v>
      </c>
      <c r="AH102" s="32" t="s">
        <v>299</v>
      </c>
      <c r="AI102" s="32" t="s">
        <v>299</v>
      </c>
      <c r="AJ102" s="32" t="s">
        <v>299</v>
      </c>
      <c r="AP102" s="32" t="s">
        <v>299</v>
      </c>
      <c r="AY102" s="32" t="s">
        <v>299</v>
      </c>
      <c r="BQ102" s="32" t="s">
        <v>299</v>
      </c>
      <c r="BR102" s="32" t="s">
        <v>299</v>
      </c>
      <c r="BS102" s="32" t="s">
        <v>299</v>
      </c>
      <c r="BU102" s="32" t="s">
        <v>299</v>
      </c>
      <c r="BV102" s="32" t="s">
        <v>299</v>
      </c>
      <c r="BW102" s="32" t="s">
        <v>299</v>
      </c>
      <c r="BX102" s="32" t="s">
        <v>299</v>
      </c>
      <c r="CB102" s="32" t="s">
        <v>299</v>
      </c>
      <c r="CF102" s="32" t="s">
        <v>299</v>
      </c>
      <c r="CO102" s="32" t="s">
        <v>299</v>
      </c>
      <c r="CU102" s="32" t="s">
        <v>299</v>
      </c>
      <c r="CX102" s="22">
        <f t="shared" si="1"/>
        <v>40</v>
      </c>
    </row>
    <row r="103" spans="1:102" x14ac:dyDescent="0.2">
      <c r="B103" s="31"/>
      <c r="CX103" s="22">
        <f>SUM(CX3:CX102)/100</f>
        <v>22.94</v>
      </c>
    </row>
  </sheetData>
  <mergeCells count="14">
    <mergeCell ref="BY1:CT1"/>
    <mergeCell ref="CU1:CW1"/>
    <mergeCell ref="AJ1:AP1"/>
    <mergeCell ref="AQ1:AZ1"/>
    <mergeCell ref="BA1:BP1"/>
    <mergeCell ref="BQ1:BS1"/>
    <mergeCell ref="BT1:BV1"/>
    <mergeCell ref="BW1:BX1"/>
    <mergeCell ref="A1:A2"/>
    <mergeCell ref="B1:B2"/>
    <mergeCell ref="C1:O1"/>
    <mergeCell ref="P1:S1"/>
    <mergeCell ref="T1:AF1"/>
    <mergeCell ref="AG1:A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B690-C171-954D-846B-A5F699E7EC66}">
  <dimension ref="A1:R102"/>
  <sheetViews>
    <sheetView topLeftCell="F1" workbookViewId="0">
      <pane ySplit="1" topLeftCell="A71" activePane="bottomLeft" state="frozen"/>
      <selection pane="bottomLeft" activeCell="A99" sqref="A99:XFD99"/>
    </sheetView>
  </sheetViews>
  <sheetFormatPr baseColWidth="10" defaultColWidth="8.83203125" defaultRowHeight="15" x14ac:dyDescent="0.2"/>
  <cols>
    <col min="1" max="1" width="8" style="22" customWidth="1"/>
    <col min="2" max="2" width="28" style="22" customWidth="1"/>
    <col min="3" max="18" width="22" style="22" customWidth="1"/>
    <col min="19" max="16384" width="8.83203125" style="22"/>
  </cols>
  <sheetData>
    <row r="1" spans="1:18" ht="32" x14ac:dyDescent="0.2">
      <c r="A1" s="30" t="s">
        <v>490</v>
      </c>
      <c r="B1" s="30" t="s">
        <v>491</v>
      </c>
      <c r="C1" s="30" t="s">
        <v>296</v>
      </c>
      <c r="D1" s="30" t="s">
        <v>492</v>
      </c>
      <c r="E1" s="30" t="s">
        <v>493</v>
      </c>
      <c r="F1" s="30" t="s">
        <v>494</v>
      </c>
      <c r="G1" s="30" t="s">
        <v>495</v>
      </c>
      <c r="H1" s="30" t="s">
        <v>496</v>
      </c>
      <c r="I1" s="30" t="s">
        <v>497</v>
      </c>
      <c r="J1" s="30" t="s">
        <v>498</v>
      </c>
      <c r="K1" s="30" t="s">
        <v>499</v>
      </c>
      <c r="L1" s="30" t="s">
        <v>522</v>
      </c>
      <c r="M1" s="30" t="s">
        <v>500</v>
      </c>
      <c r="N1" s="30" t="s">
        <v>134</v>
      </c>
      <c r="O1" s="30" t="s">
        <v>263</v>
      </c>
      <c r="P1" s="30" t="s">
        <v>264</v>
      </c>
      <c r="Q1" s="30" t="s">
        <v>135</v>
      </c>
      <c r="R1" s="30" t="s">
        <v>265</v>
      </c>
    </row>
    <row r="2" spans="1:18" ht="16" x14ac:dyDescent="0.2">
      <c r="A2" s="22" t="s">
        <v>297</v>
      </c>
      <c r="B2" s="31" t="s">
        <v>501</v>
      </c>
      <c r="C2" s="32" t="s">
        <v>299</v>
      </c>
      <c r="D2" s="32" t="s">
        <v>299</v>
      </c>
      <c r="E2" s="32" t="s">
        <v>299</v>
      </c>
      <c r="F2" s="32" t="s">
        <v>299</v>
      </c>
      <c r="G2" s="32" t="s">
        <v>299</v>
      </c>
      <c r="H2" s="32" t="s">
        <v>299</v>
      </c>
      <c r="I2" s="32" t="s">
        <v>299</v>
      </c>
      <c r="K2" s="32" t="s">
        <v>299</v>
      </c>
      <c r="M2" s="32" t="s">
        <v>299</v>
      </c>
      <c r="O2" s="32" t="s">
        <v>299</v>
      </c>
      <c r="Q2" s="32" t="s">
        <v>299</v>
      </c>
      <c r="R2" s="32" t="s">
        <v>299</v>
      </c>
    </row>
    <row r="3" spans="1:18" ht="16" x14ac:dyDescent="0.2">
      <c r="A3" s="22" t="s">
        <v>300</v>
      </c>
      <c r="B3" s="31" t="s">
        <v>1</v>
      </c>
    </row>
    <row r="4" spans="1:18" ht="16" x14ac:dyDescent="0.2">
      <c r="A4" s="22" t="s">
        <v>302</v>
      </c>
      <c r="B4" s="31" t="s">
        <v>303</v>
      </c>
      <c r="C4" s="32" t="s">
        <v>299</v>
      </c>
      <c r="D4" s="32" t="s">
        <v>299</v>
      </c>
      <c r="E4" s="32" t="s">
        <v>299</v>
      </c>
      <c r="F4" s="32" t="s">
        <v>299</v>
      </c>
      <c r="K4" s="32" t="s">
        <v>299</v>
      </c>
      <c r="M4" s="32" t="s">
        <v>299</v>
      </c>
    </row>
    <row r="5" spans="1:18" ht="16" x14ac:dyDescent="0.2">
      <c r="A5" s="22" t="s">
        <v>304</v>
      </c>
      <c r="B5" s="31" t="s">
        <v>305</v>
      </c>
      <c r="C5" s="32" t="s">
        <v>299</v>
      </c>
      <c r="D5" s="32" t="s">
        <v>299</v>
      </c>
      <c r="E5" s="32" t="s">
        <v>299</v>
      </c>
      <c r="F5" s="32" t="s">
        <v>299</v>
      </c>
    </row>
    <row r="6" spans="1:18" ht="16" x14ac:dyDescent="0.2">
      <c r="A6" s="22" t="s">
        <v>306</v>
      </c>
      <c r="B6" s="31" t="s">
        <v>307</v>
      </c>
      <c r="C6" s="32" t="s">
        <v>299</v>
      </c>
      <c r="D6" s="32" t="s">
        <v>299</v>
      </c>
      <c r="E6" s="32" t="s">
        <v>299</v>
      </c>
      <c r="F6" s="32" t="s">
        <v>299</v>
      </c>
      <c r="G6" s="32" t="s">
        <v>299</v>
      </c>
      <c r="I6" s="32" t="s">
        <v>299</v>
      </c>
      <c r="M6" s="32" t="s">
        <v>299</v>
      </c>
      <c r="Q6" s="32" t="s">
        <v>299</v>
      </c>
    </row>
    <row r="7" spans="1:18" ht="16" x14ac:dyDescent="0.2">
      <c r="A7" s="22" t="s">
        <v>308</v>
      </c>
      <c r="B7" s="31" t="s">
        <v>309</v>
      </c>
      <c r="C7" s="32" t="s">
        <v>299</v>
      </c>
      <c r="D7" s="32" t="s">
        <v>299</v>
      </c>
      <c r="E7" s="32" t="s">
        <v>299</v>
      </c>
      <c r="F7" s="32" t="s">
        <v>299</v>
      </c>
      <c r="M7" s="32" t="s">
        <v>299</v>
      </c>
    </row>
    <row r="8" spans="1:18" ht="16" x14ac:dyDescent="0.2">
      <c r="A8" s="22" t="s">
        <v>310</v>
      </c>
      <c r="B8" s="31" t="s">
        <v>311</v>
      </c>
      <c r="C8" s="32" t="s">
        <v>299</v>
      </c>
      <c r="D8" s="32" t="s">
        <v>299</v>
      </c>
      <c r="E8" s="32" t="s">
        <v>299</v>
      </c>
      <c r="F8" s="32" t="s">
        <v>299</v>
      </c>
      <c r="G8" s="32" t="s">
        <v>299</v>
      </c>
      <c r="K8" s="32" t="s">
        <v>299</v>
      </c>
      <c r="M8" s="32" t="s">
        <v>299</v>
      </c>
    </row>
    <row r="9" spans="1:18" ht="16" x14ac:dyDescent="0.2">
      <c r="A9" s="22" t="s">
        <v>312</v>
      </c>
      <c r="B9" s="31" t="s">
        <v>325</v>
      </c>
      <c r="C9" s="32" t="s">
        <v>299</v>
      </c>
      <c r="D9" s="32" t="s">
        <v>299</v>
      </c>
      <c r="E9" s="32" t="s">
        <v>299</v>
      </c>
      <c r="F9" s="32" t="s">
        <v>299</v>
      </c>
      <c r="G9" s="32" t="s">
        <v>299</v>
      </c>
      <c r="K9" s="32" t="s">
        <v>299</v>
      </c>
      <c r="M9" s="32" t="s">
        <v>299</v>
      </c>
    </row>
    <row r="10" spans="1:18" ht="16" x14ac:dyDescent="0.2">
      <c r="A10" s="22" t="s">
        <v>314</v>
      </c>
      <c r="B10" s="31" t="s">
        <v>315</v>
      </c>
      <c r="C10" s="32" t="s">
        <v>299</v>
      </c>
      <c r="D10" s="32" t="s">
        <v>299</v>
      </c>
      <c r="E10" s="32" t="s">
        <v>299</v>
      </c>
      <c r="F10" s="32" t="s">
        <v>299</v>
      </c>
      <c r="G10" s="32" t="s">
        <v>299</v>
      </c>
      <c r="K10" s="32" t="s">
        <v>299</v>
      </c>
      <c r="M10" s="32" t="s">
        <v>299</v>
      </c>
    </row>
    <row r="11" spans="1:18" ht="16" x14ac:dyDescent="0.2">
      <c r="A11" s="22" t="s">
        <v>316</v>
      </c>
      <c r="B11" s="31" t="s">
        <v>502</v>
      </c>
      <c r="C11" s="32" t="s">
        <v>299</v>
      </c>
      <c r="D11" s="32" t="s">
        <v>299</v>
      </c>
      <c r="E11" s="32" t="s">
        <v>299</v>
      </c>
      <c r="F11" s="32" t="s">
        <v>299</v>
      </c>
      <c r="G11" s="32" t="s">
        <v>299</v>
      </c>
      <c r="I11" s="32" t="s">
        <v>299</v>
      </c>
      <c r="M11" s="32" t="s">
        <v>299</v>
      </c>
      <c r="Q11" s="32" t="s">
        <v>299</v>
      </c>
    </row>
    <row r="12" spans="1:18" ht="16" x14ac:dyDescent="0.2">
      <c r="A12" s="22" t="s">
        <v>318</v>
      </c>
      <c r="B12" s="31" t="s">
        <v>319</v>
      </c>
      <c r="C12" s="32" t="s">
        <v>299</v>
      </c>
      <c r="D12" s="32" t="s">
        <v>299</v>
      </c>
      <c r="E12" s="32" t="s">
        <v>299</v>
      </c>
      <c r="F12" s="32" t="s">
        <v>299</v>
      </c>
      <c r="G12" s="32" t="s">
        <v>299</v>
      </c>
      <c r="I12" s="32" t="s">
        <v>299</v>
      </c>
      <c r="K12" s="32" t="s">
        <v>299</v>
      </c>
      <c r="M12" s="32" t="s">
        <v>299</v>
      </c>
      <c r="Q12" s="32" t="s">
        <v>299</v>
      </c>
    </row>
    <row r="13" spans="1:18" ht="16" x14ac:dyDescent="0.2">
      <c r="A13" s="22" t="s">
        <v>320</v>
      </c>
      <c r="B13" s="31" t="s">
        <v>321</v>
      </c>
      <c r="C13" s="32" t="s">
        <v>299</v>
      </c>
      <c r="D13" s="32" t="s">
        <v>299</v>
      </c>
      <c r="E13" s="32" t="s">
        <v>299</v>
      </c>
      <c r="F13" s="32" t="s">
        <v>299</v>
      </c>
      <c r="K13" s="32" t="s">
        <v>299</v>
      </c>
      <c r="M13" s="32" t="s">
        <v>299</v>
      </c>
    </row>
    <row r="14" spans="1:18" ht="16" x14ac:dyDescent="0.2">
      <c r="A14" s="22" t="s">
        <v>322</v>
      </c>
      <c r="B14" s="31" t="s">
        <v>323</v>
      </c>
      <c r="C14" s="32" t="s">
        <v>299</v>
      </c>
      <c r="D14" s="32" t="s">
        <v>299</v>
      </c>
      <c r="E14" s="32" t="s">
        <v>299</v>
      </c>
      <c r="F14" s="32" t="s">
        <v>299</v>
      </c>
      <c r="G14" s="32" t="s">
        <v>299</v>
      </c>
      <c r="H14" s="32" t="s">
        <v>299</v>
      </c>
      <c r="I14" s="32" t="s">
        <v>299</v>
      </c>
      <c r="K14" s="32" t="s">
        <v>299</v>
      </c>
      <c r="M14" s="32" t="s">
        <v>299</v>
      </c>
      <c r="O14" s="32" t="s">
        <v>299</v>
      </c>
      <c r="Q14" s="32" t="s">
        <v>299</v>
      </c>
      <c r="R14" s="32" t="s">
        <v>299</v>
      </c>
    </row>
    <row r="15" spans="1:18" ht="16" x14ac:dyDescent="0.2">
      <c r="A15" s="22" t="s">
        <v>324</v>
      </c>
      <c r="B15" s="31" t="s">
        <v>325</v>
      </c>
      <c r="C15" s="32" t="s">
        <v>299</v>
      </c>
      <c r="D15" s="32" t="s">
        <v>299</v>
      </c>
      <c r="E15" s="32" t="s">
        <v>299</v>
      </c>
      <c r="F15" s="32" t="s">
        <v>299</v>
      </c>
      <c r="G15" s="32" t="s">
        <v>299</v>
      </c>
      <c r="I15" s="32" t="s">
        <v>299</v>
      </c>
      <c r="K15" s="32" t="s">
        <v>299</v>
      </c>
      <c r="M15" s="32" t="s">
        <v>299</v>
      </c>
      <c r="Q15" s="32" t="s">
        <v>299</v>
      </c>
    </row>
    <row r="16" spans="1:18" ht="16" x14ac:dyDescent="0.2">
      <c r="A16" s="22" t="s">
        <v>326</v>
      </c>
      <c r="B16" s="31" t="s">
        <v>303</v>
      </c>
      <c r="C16" s="32" t="s">
        <v>299</v>
      </c>
      <c r="D16" s="32" t="s">
        <v>299</v>
      </c>
      <c r="E16" s="32" t="s">
        <v>299</v>
      </c>
      <c r="F16" s="32" t="s">
        <v>299</v>
      </c>
      <c r="G16" s="32" t="s">
        <v>299</v>
      </c>
      <c r="I16" s="32" t="s">
        <v>299</v>
      </c>
      <c r="K16" s="32" t="s">
        <v>299</v>
      </c>
      <c r="M16" s="32" t="s">
        <v>299</v>
      </c>
      <c r="Q16" s="32" t="s">
        <v>299</v>
      </c>
    </row>
    <row r="17" spans="1:18" ht="16" x14ac:dyDescent="0.2">
      <c r="A17" s="22" t="s">
        <v>328</v>
      </c>
      <c r="B17" s="31" t="s">
        <v>503</v>
      </c>
      <c r="C17" s="32" t="s">
        <v>299</v>
      </c>
      <c r="D17" s="32" t="s">
        <v>299</v>
      </c>
      <c r="E17" s="32" t="s">
        <v>299</v>
      </c>
      <c r="F17" s="32" t="s">
        <v>299</v>
      </c>
      <c r="G17" s="32" t="s">
        <v>299</v>
      </c>
      <c r="M17" s="32" t="s">
        <v>299</v>
      </c>
    </row>
    <row r="18" spans="1:18" ht="16" x14ac:dyDescent="0.2">
      <c r="A18" s="22" t="s">
        <v>330</v>
      </c>
      <c r="B18" s="31" t="s">
        <v>504</v>
      </c>
      <c r="C18" s="32" t="s">
        <v>299</v>
      </c>
      <c r="D18" s="32" t="s">
        <v>299</v>
      </c>
      <c r="E18" s="32" t="s">
        <v>299</v>
      </c>
      <c r="F18" s="32" t="s">
        <v>299</v>
      </c>
      <c r="M18" s="32" t="s">
        <v>299</v>
      </c>
    </row>
    <row r="19" spans="1:18" ht="16" x14ac:dyDescent="0.2">
      <c r="A19" s="22" t="s">
        <v>332</v>
      </c>
      <c r="B19" s="31" t="s">
        <v>505</v>
      </c>
      <c r="C19" s="32" t="s">
        <v>299</v>
      </c>
      <c r="D19" s="32" t="s">
        <v>299</v>
      </c>
      <c r="E19" s="32" t="s">
        <v>299</v>
      </c>
      <c r="F19" s="32" t="s">
        <v>299</v>
      </c>
      <c r="G19" s="32" t="s">
        <v>299</v>
      </c>
      <c r="M19" s="32" t="s">
        <v>299</v>
      </c>
    </row>
    <row r="20" spans="1:18" ht="16" x14ac:dyDescent="0.2">
      <c r="A20" s="22" t="s">
        <v>334</v>
      </c>
      <c r="B20" s="31" t="s">
        <v>506</v>
      </c>
      <c r="C20" s="32" t="s">
        <v>299</v>
      </c>
      <c r="D20" s="32" t="s">
        <v>299</v>
      </c>
      <c r="E20" s="32" t="s">
        <v>299</v>
      </c>
      <c r="F20" s="32" t="s">
        <v>299</v>
      </c>
      <c r="M20" s="32" t="s">
        <v>299</v>
      </c>
    </row>
    <row r="21" spans="1:18" ht="16" x14ac:dyDescent="0.2">
      <c r="A21" s="22" t="s">
        <v>336</v>
      </c>
      <c r="B21" s="31" t="s">
        <v>337</v>
      </c>
      <c r="C21" s="32" t="s">
        <v>299</v>
      </c>
      <c r="D21" s="32" t="s">
        <v>299</v>
      </c>
      <c r="E21" s="32" t="s">
        <v>299</v>
      </c>
      <c r="F21" s="32" t="s">
        <v>299</v>
      </c>
      <c r="G21" s="32" t="s">
        <v>299</v>
      </c>
      <c r="M21" s="32" t="s">
        <v>299</v>
      </c>
    </row>
    <row r="22" spans="1:18" ht="16" x14ac:dyDescent="0.2">
      <c r="A22" s="22" t="s">
        <v>338</v>
      </c>
      <c r="B22" s="31" t="s">
        <v>339</v>
      </c>
      <c r="C22" s="32" t="s">
        <v>299</v>
      </c>
      <c r="D22" s="32" t="s">
        <v>299</v>
      </c>
      <c r="E22" s="32" t="s">
        <v>299</v>
      </c>
      <c r="F22" s="32" t="s">
        <v>299</v>
      </c>
      <c r="G22" s="32" t="s">
        <v>299</v>
      </c>
      <c r="K22" s="32" t="s">
        <v>299</v>
      </c>
      <c r="M22" s="32" t="s">
        <v>299</v>
      </c>
    </row>
    <row r="23" spans="1:18" ht="16" x14ac:dyDescent="0.2">
      <c r="A23" s="22" t="s">
        <v>340</v>
      </c>
      <c r="B23" s="31" t="s">
        <v>341</v>
      </c>
      <c r="C23" s="32" t="s">
        <v>299</v>
      </c>
      <c r="D23" s="32" t="s">
        <v>299</v>
      </c>
      <c r="E23" s="32" t="s">
        <v>299</v>
      </c>
      <c r="F23" s="32" t="s">
        <v>299</v>
      </c>
      <c r="G23" s="32" t="s">
        <v>299</v>
      </c>
      <c r="H23" s="32" t="s">
        <v>299</v>
      </c>
      <c r="I23" s="32" t="s">
        <v>299</v>
      </c>
      <c r="J23" s="32" t="s">
        <v>299</v>
      </c>
      <c r="K23" s="32" t="s">
        <v>299</v>
      </c>
      <c r="M23" s="32" t="s">
        <v>299</v>
      </c>
      <c r="O23" s="32" t="s">
        <v>299</v>
      </c>
      <c r="Q23" s="32" t="s">
        <v>299</v>
      </c>
      <c r="R23" s="32" t="s">
        <v>299</v>
      </c>
    </row>
    <row r="24" spans="1:18" ht="16" x14ac:dyDescent="0.2">
      <c r="A24" s="22" t="s">
        <v>342</v>
      </c>
      <c r="B24" s="31" t="s">
        <v>343</v>
      </c>
      <c r="C24" s="32" t="s">
        <v>299</v>
      </c>
      <c r="D24" s="32" t="s">
        <v>299</v>
      </c>
      <c r="E24" s="32" t="s">
        <v>299</v>
      </c>
      <c r="F24" s="32" t="s">
        <v>299</v>
      </c>
      <c r="H24" s="32" t="s">
        <v>299</v>
      </c>
      <c r="K24" s="32" t="s">
        <v>299</v>
      </c>
      <c r="M24" s="32" t="s">
        <v>299</v>
      </c>
      <c r="Q24" s="32" t="s">
        <v>299</v>
      </c>
    </row>
    <row r="25" spans="1:18" ht="16" x14ac:dyDescent="0.2">
      <c r="A25" s="22" t="s">
        <v>344</v>
      </c>
      <c r="B25" s="31" t="s">
        <v>345</v>
      </c>
      <c r="C25" s="32" t="s">
        <v>299</v>
      </c>
      <c r="D25" s="32" t="s">
        <v>299</v>
      </c>
      <c r="E25" s="32" t="s">
        <v>299</v>
      </c>
      <c r="F25" s="32" t="s">
        <v>299</v>
      </c>
      <c r="G25" s="32" t="s">
        <v>299</v>
      </c>
      <c r="K25" s="32" t="s">
        <v>299</v>
      </c>
      <c r="M25" s="32" t="s">
        <v>299</v>
      </c>
    </row>
    <row r="26" spans="1:18" ht="16" x14ac:dyDescent="0.2">
      <c r="A26" s="22" t="s">
        <v>346</v>
      </c>
      <c r="B26" s="31" t="s">
        <v>347</v>
      </c>
      <c r="C26" s="32" t="s">
        <v>299</v>
      </c>
      <c r="D26" s="32" t="s">
        <v>299</v>
      </c>
      <c r="E26" s="32" t="s">
        <v>299</v>
      </c>
      <c r="F26" s="32" t="s">
        <v>299</v>
      </c>
      <c r="G26" s="32" t="s">
        <v>299</v>
      </c>
      <c r="H26" s="32" t="s">
        <v>299</v>
      </c>
      <c r="K26" s="32" t="s">
        <v>299</v>
      </c>
      <c r="M26" s="32" t="s">
        <v>299</v>
      </c>
      <c r="O26" s="32" t="s">
        <v>299</v>
      </c>
      <c r="Q26" s="32" t="s">
        <v>299</v>
      </c>
    </row>
    <row r="27" spans="1:18" ht="16" x14ac:dyDescent="0.2">
      <c r="A27" s="22" t="s">
        <v>348</v>
      </c>
      <c r="B27" s="31" t="s">
        <v>507</v>
      </c>
      <c r="C27" s="32" t="s">
        <v>299</v>
      </c>
      <c r="D27" s="32" t="s">
        <v>299</v>
      </c>
      <c r="E27" s="32" t="s">
        <v>299</v>
      </c>
      <c r="F27" s="32" t="s">
        <v>299</v>
      </c>
      <c r="M27" s="32" t="s">
        <v>299</v>
      </c>
    </row>
    <row r="28" spans="1:18" ht="16" x14ac:dyDescent="0.2">
      <c r="A28" s="22" t="s">
        <v>350</v>
      </c>
      <c r="B28" s="31" t="s">
        <v>508</v>
      </c>
      <c r="C28" s="32" t="s">
        <v>299</v>
      </c>
      <c r="D28" s="32" t="s">
        <v>299</v>
      </c>
      <c r="E28" s="32" t="s">
        <v>299</v>
      </c>
      <c r="F28" s="32" t="s">
        <v>299</v>
      </c>
      <c r="K28" s="32" t="s">
        <v>299</v>
      </c>
      <c r="M28" s="32" t="s">
        <v>299</v>
      </c>
      <c r="O28" s="32" t="s">
        <v>299</v>
      </c>
    </row>
    <row r="29" spans="1:18" ht="16" x14ac:dyDescent="0.2">
      <c r="A29" s="22" t="s">
        <v>352</v>
      </c>
      <c r="B29" s="31" t="s">
        <v>353</v>
      </c>
      <c r="C29" s="32" t="s">
        <v>299</v>
      </c>
      <c r="D29" s="32" t="s">
        <v>299</v>
      </c>
      <c r="F29" s="32" t="s">
        <v>299</v>
      </c>
    </row>
    <row r="30" spans="1:18" ht="16" x14ac:dyDescent="0.2">
      <c r="A30" s="22" t="s">
        <v>354</v>
      </c>
      <c r="B30" s="31" t="s">
        <v>355</v>
      </c>
      <c r="C30" s="32" t="s">
        <v>299</v>
      </c>
      <c r="D30" s="32" t="s">
        <v>299</v>
      </c>
      <c r="E30" s="32" t="s">
        <v>299</v>
      </c>
      <c r="F30" s="32" t="s">
        <v>299</v>
      </c>
      <c r="G30" s="32" t="s">
        <v>299</v>
      </c>
      <c r="M30" s="32" t="s">
        <v>299</v>
      </c>
    </row>
    <row r="31" spans="1:18" ht="16" x14ac:dyDescent="0.2">
      <c r="A31" s="22" t="s">
        <v>356</v>
      </c>
      <c r="B31" s="31" t="s">
        <v>357</v>
      </c>
      <c r="C31" s="32" t="s">
        <v>299</v>
      </c>
      <c r="D31" s="32" t="s">
        <v>299</v>
      </c>
      <c r="E31" s="32" t="s">
        <v>299</v>
      </c>
      <c r="F31" s="32" t="s">
        <v>299</v>
      </c>
      <c r="G31" s="32" t="s">
        <v>299</v>
      </c>
      <c r="M31" s="32" t="s">
        <v>299</v>
      </c>
    </row>
    <row r="32" spans="1:18" ht="16" x14ac:dyDescent="0.2">
      <c r="A32" s="22" t="s">
        <v>358</v>
      </c>
      <c r="B32" s="31" t="s">
        <v>359</v>
      </c>
      <c r="C32" s="32" t="s">
        <v>299</v>
      </c>
      <c r="D32" s="32" t="s">
        <v>299</v>
      </c>
      <c r="E32" s="32" t="s">
        <v>299</v>
      </c>
      <c r="F32" s="32" t="s">
        <v>299</v>
      </c>
      <c r="G32" s="32" t="s">
        <v>299</v>
      </c>
      <c r="I32" s="32" t="s">
        <v>299</v>
      </c>
      <c r="K32" s="32" t="s">
        <v>299</v>
      </c>
      <c r="M32" s="32" t="s">
        <v>299</v>
      </c>
      <c r="Q32" s="32" t="s">
        <v>299</v>
      </c>
    </row>
    <row r="33" spans="1:18" ht="16" x14ac:dyDescent="0.2">
      <c r="A33" s="22" t="s">
        <v>360</v>
      </c>
      <c r="B33" s="31" t="s">
        <v>361</v>
      </c>
      <c r="C33" s="32" t="s">
        <v>299</v>
      </c>
      <c r="D33" s="32" t="s">
        <v>299</v>
      </c>
      <c r="E33" s="32" t="s">
        <v>299</v>
      </c>
      <c r="F33" s="32" t="s">
        <v>299</v>
      </c>
      <c r="K33" s="32" t="s">
        <v>299</v>
      </c>
      <c r="M33" s="32" t="s">
        <v>299</v>
      </c>
    </row>
    <row r="34" spans="1:18" ht="16" x14ac:dyDescent="0.2">
      <c r="A34" s="22" t="s">
        <v>362</v>
      </c>
      <c r="B34" s="31" t="s">
        <v>363</v>
      </c>
      <c r="C34" s="32" t="s">
        <v>299</v>
      </c>
      <c r="D34" s="32" t="s">
        <v>299</v>
      </c>
      <c r="E34" s="32" t="s">
        <v>299</v>
      </c>
      <c r="F34" s="32" t="s">
        <v>299</v>
      </c>
      <c r="G34" s="32" t="s">
        <v>299</v>
      </c>
      <c r="H34" s="32" t="s">
        <v>299</v>
      </c>
      <c r="K34" s="32" t="s">
        <v>299</v>
      </c>
      <c r="M34" s="32" t="s">
        <v>299</v>
      </c>
      <c r="Q34" s="32" t="s">
        <v>299</v>
      </c>
      <c r="R34" s="32" t="s">
        <v>299</v>
      </c>
    </row>
    <row r="35" spans="1:18" ht="16" x14ac:dyDescent="0.2">
      <c r="A35" s="22" t="s">
        <v>364</v>
      </c>
      <c r="B35" s="31" t="s">
        <v>365</v>
      </c>
      <c r="C35" s="32" t="s">
        <v>299</v>
      </c>
      <c r="D35" s="32" t="s">
        <v>299</v>
      </c>
      <c r="E35" s="32" t="s">
        <v>299</v>
      </c>
      <c r="F35" s="32" t="s">
        <v>299</v>
      </c>
      <c r="G35" s="32" t="s">
        <v>299</v>
      </c>
      <c r="K35" s="32" t="s">
        <v>299</v>
      </c>
      <c r="M35" s="32" t="s">
        <v>299</v>
      </c>
    </row>
    <row r="36" spans="1:18" ht="16" x14ac:dyDescent="0.2">
      <c r="A36" s="22" t="s">
        <v>366</v>
      </c>
      <c r="B36" s="31" t="s">
        <v>509</v>
      </c>
      <c r="C36" s="32" t="s">
        <v>299</v>
      </c>
      <c r="D36" s="32" t="s">
        <v>299</v>
      </c>
      <c r="E36" s="32" t="s">
        <v>299</v>
      </c>
      <c r="K36" s="32" t="s">
        <v>299</v>
      </c>
      <c r="M36" s="32" t="s">
        <v>299</v>
      </c>
    </row>
    <row r="37" spans="1:18" ht="16" x14ac:dyDescent="0.2">
      <c r="A37" s="22" t="s">
        <v>368</v>
      </c>
      <c r="B37" s="31" t="s">
        <v>369</v>
      </c>
      <c r="C37" s="32" t="s">
        <v>299</v>
      </c>
      <c r="D37" s="32" t="s">
        <v>299</v>
      </c>
      <c r="E37" s="32" t="s">
        <v>299</v>
      </c>
      <c r="F37" s="32" t="s">
        <v>299</v>
      </c>
      <c r="G37" s="32" t="s">
        <v>299</v>
      </c>
      <c r="K37" s="32" t="s">
        <v>299</v>
      </c>
      <c r="M37" s="32" t="s">
        <v>299</v>
      </c>
    </row>
    <row r="38" spans="1:18" ht="16" x14ac:dyDescent="0.2">
      <c r="A38" s="22" t="s">
        <v>370</v>
      </c>
      <c r="B38" s="31" t="s">
        <v>371</v>
      </c>
      <c r="C38" s="32" t="s">
        <v>299</v>
      </c>
      <c r="D38" s="32" t="s">
        <v>299</v>
      </c>
      <c r="E38" s="32" t="s">
        <v>299</v>
      </c>
      <c r="F38" s="32" t="s">
        <v>299</v>
      </c>
      <c r="G38" s="32" t="s">
        <v>299</v>
      </c>
      <c r="K38" s="32" t="s">
        <v>299</v>
      </c>
      <c r="M38" s="32" t="s">
        <v>299</v>
      </c>
    </row>
    <row r="39" spans="1:18" ht="16" x14ac:dyDescent="0.2">
      <c r="A39" s="22" t="s">
        <v>372</v>
      </c>
      <c r="B39" s="31" t="s">
        <v>37</v>
      </c>
      <c r="C39" s="32" t="s">
        <v>299</v>
      </c>
      <c r="D39" s="32" t="s">
        <v>299</v>
      </c>
      <c r="E39" s="32" t="s">
        <v>299</v>
      </c>
      <c r="F39" s="32" t="s">
        <v>299</v>
      </c>
      <c r="G39" s="32" t="s">
        <v>299</v>
      </c>
      <c r="H39" s="32" t="s">
        <v>299</v>
      </c>
      <c r="I39" s="32" t="s">
        <v>299</v>
      </c>
      <c r="J39" s="32" t="s">
        <v>299</v>
      </c>
      <c r="K39" s="32" t="s">
        <v>299</v>
      </c>
      <c r="M39" s="32" t="s">
        <v>299</v>
      </c>
      <c r="Q39" s="32" t="s">
        <v>299</v>
      </c>
    </row>
    <row r="40" spans="1:18" ht="16" x14ac:dyDescent="0.2">
      <c r="A40" s="22" t="s">
        <v>373</v>
      </c>
      <c r="B40" s="31" t="s">
        <v>510</v>
      </c>
      <c r="C40" s="32" t="s">
        <v>299</v>
      </c>
      <c r="D40" s="32" t="s">
        <v>299</v>
      </c>
      <c r="E40" s="32" t="s">
        <v>299</v>
      </c>
      <c r="F40" s="32" t="s">
        <v>299</v>
      </c>
      <c r="M40" s="32" t="s">
        <v>299</v>
      </c>
    </row>
    <row r="41" spans="1:18" ht="16" x14ac:dyDescent="0.2">
      <c r="A41" s="22" t="s">
        <v>375</v>
      </c>
      <c r="B41" s="31" t="s">
        <v>376</v>
      </c>
      <c r="C41" s="32" t="s">
        <v>299</v>
      </c>
      <c r="D41" s="32" t="s">
        <v>299</v>
      </c>
      <c r="E41" s="32" t="s">
        <v>299</v>
      </c>
      <c r="F41" s="32" t="s">
        <v>299</v>
      </c>
      <c r="I41" s="32" t="s">
        <v>299</v>
      </c>
      <c r="K41" s="32" t="s">
        <v>299</v>
      </c>
      <c r="M41" s="32" t="s">
        <v>299</v>
      </c>
      <c r="Q41" s="32" t="s">
        <v>299</v>
      </c>
    </row>
    <row r="42" spans="1:18" ht="16" x14ac:dyDescent="0.2">
      <c r="A42" s="22" t="s">
        <v>377</v>
      </c>
      <c r="B42" s="31" t="s">
        <v>378</v>
      </c>
      <c r="C42" s="32" t="s">
        <v>299</v>
      </c>
      <c r="D42" s="32" t="s">
        <v>299</v>
      </c>
      <c r="E42" s="32" t="s">
        <v>299</v>
      </c>
      <c r="F42" s="32" t="s">
        <v>299</v>
      </c>
      <c r="G42" s="32" t="s">
        <v>299</v>
      </c>
      <c r="M42" s="32" t="s">
        <v>299</v>
      </c>
    </row>
    <row r="43" spans="1:18" ht="16" x14ac:dyDescent="0.2">
      <c r="A43" s="22" t="s">
        <v>379</v>
      </c>
      <c r="B43" s="31" t="s">
        <v>511</v>
      </c>
      <c r="C43" s="32" t="s">
        <v>299</v>
      </c>
      <c r="E43" s="32" t="s">
        <v>299</v>
      </c>
    </row>
    <row r="44" spans="1:18" ht="16" x14ac:dyDescent="0.2">
      <c r="A44" s="22" t="s">
        <v>381</v>
      </c>
      <c r="B44" s="31" t="s">
        <v>382</v>
      </c>
      <c r="C44" s="32" t="s">
        <v>299</v>
      </c>
      <c r="D44" s="32" t="s">
        <v>299</v>
      </c>
      <c r="E44" s="32" t="s">
        <v>299</v>
      </c>
      <c r="F44" s="32" t="s">
        <v>299</v>
      </c>
      <c r="G44" s="32" t="s">
        <v>299</v>
      </c>
      <c r="K44" s="32" t="s">
        <v>299</v>
      </c>
      <c r="M44" s="32" t="s">
        <v>299</v>
      </c>
    </row>
    <row r="45" spans="1:18" ht="16" x14ac:dyDescent="0.2">
      <c r="A45" s="22" t="s">
        <v>383</v>
      </c>
      <c r="B45" s="31" t="s">
        <v>384</v>
      </c>
      <c r="C45" s="32" t="s">
        <v>299</v>
      </c>
      <c r="D45" s="32" t="s">
        <v>299</v>
      </c>
      <c r="E45" s="32" t="s">
        <v>299</v>
      </c>
      <c r="F45" s="32" t="s">
        <v>299</v>
      </c>
      <c r="G45" s="32" t="s">
        <v>299</v>
      </c>
      <c r="H45" s="32" t="s">
        <v>299</v>
      </c>
      <c r="I45" s="32" t="s">
        <v>299</v>
      </c>
      <c r="J45" s="32" t="s">
        <v>299</v>
      </c>
      <c r="K45" s="32" t="s">
        <v>299</v>
      </c>
      <c r="M45" s="32" t="s">
        <v>299</v>
      </c>
      <c r="Q45" s="32" t="s">
        <v>299</v>
      </c>
    </row>
    <row r="46" spans="1:18" ht="16" x14ac:dyDescent="0.2">
      <c r="A46" s="22" t="s">
        <v>385</v>
      </c>
      <c r="B46" s="31" t="s">
        <v>386</v>
      </c>
      <c r="C46" s="32" t="s">
        <v>299</v>
      </c>
      <c r="D46" s="32" t="s">
        <v>299</v>
      </c>
      <c r="E46" s="32" t="s">
        <v>299</v>
      </c>
      <c r="F46" s="32" t="s">
        <v>299</v>
      </c>
      <c r="H46" s="32" t="s">
        <v>299</v>
      </c>
      <c r="K46" s="32" t="s">
        <v>299</v>
      </c>
      <c r="M46" s="32" t="s">
        <v>299</v>
      </c>
      <c r="Q46" s="32" t="s">
        <v>299</v>
      </c>
    </row>
    <row r="47" spans="1:18" ht="16" x14ac:dyDescent="0.2">
      <c r="A47" s="22" t="s">
        <v>387</v>
      </c>
      <c r="B47" s="31" t="s">
        <v>388</v>
      </c>
      <c r="C47" s="32" t="s">
        <v>299</v>
      </c>
      <c r="D47" s="32" t="s">
        <v>299</v>
      </c>
      <c r="E47" s="32" t="s">
        <v>299</v>
      </c>
      <c r="F47" s="32" t="s">
        <v>299</v>
      </c>
      <c r="G47" s="32" t="s">
        <v>299</v>
      </c>
      <c r="K47" s="32" t="s">
        <v>299</v>
      </c>
      <c r="M47" s="32" t="s">
        <v>299</v>
      </c>
    </row>
    <row r="48" spans="1:18" ht="16" x14ac:dyDescent="0.2">
      <c r="A48" s="22" t="s">
        <v>389</v>
      </c>
      <c r="B48" s="31" t="s">
        <v>390</v>
      </c>
      <c r="C48" s="32" t="s">
        <v>299</v>
      </c>
      <c r="D48" s="32" t="s">
        <v>299</v>
      </c>
      <c r="E48" s="32" t="s">
        <v>299</v>
      </c>
      <c r="F48" s="32" t="s">
        <v>299</v>
      </c>
      <c r="G48" s="32" t="s">
        <v>299</v>
      </c>
      <c r="H48" s="32" t="s">
        <v>299</v>
      </c>
      <c r="I48" s="32" t="s">
        <v>299</v>
      </c>
      <c r="J48" s="32" t="s">
        <v>299</v>
      </c>
      <c r="K48" s="32" t="s">
        <v>299</v>
      </c>
      <c r="M48" s="32" t="s">
        <v>299</v>
      </c>
      <c r="O48" s="32" t="s">
        <v>299</v>
      </c>
      <c r="Q48" s="32" t="s">
        <v>299</v>
      </c>
      <c r="R48" s="32" t="s">
        <v>299</v>
      </c>
    </row>
    <row r="49" spans="1:18" ht="16" x14ac:dyDescent="0.2">
      <c r="A49" s="22" t="s">
        <v>391</v>
      </c>
      <c r="B49" s="31" t="s">
        <v>392</v>
      </c>
      <c r="C49" s="32" t="s">
        <v>299</v>
      </c>
      <c r="D49" s="32" t="s">
        <v>299</v>
      </c>
      <c r="E49" s="32" t="s">
        <v>299</v>
      </c>
      <c r="K49" s="32" t="s">
        <v>299</v>
      </c>
      <c r="M49" s="32" t="s">
        <v>299</v>
      </c>
    </row>
    <row r="50" spans="1:18" ht="16" x14ac:dyDescent="0.2">
      <c r="A50" s="22" t="s">
        <v>393</v>
      </c>
      <c r="B50" s="31" t="s">
        <v>394</v>
      </c>
      <c r="C50" s="32" t="s">
        <v>299</v>
      </c>
      <c r="D50" s="32" t="s">
        <v>299</v>
      </c>
      <c r="E50" s="32" t="s">
        <v>299</v>
      </c>
      <c r="F50" s="32" t="s">
        <v>299</v>
      </c>
      <c r="K50" s="32" t="s">
        <v>299</v>
      </c>
      <c r="M50" s="32" t="s">
        <v>299</v>
      </c>
    </row>
    <row r="51" spans="1:18" ht="16" x14ac:dyDescent="0.2">
      <c r="A51" s="22" t="s">
        <v>395</v>
      </c>
      <c r="B51" s="31" t="s">
        <v>303</v>
      </c>
      <c r="C51" s="32" t="s">
        <v>299</v>
      </c>
      <c r="D51" s="32" t="s">
        <v>299</v>
      </c>
      <c r="E51" s="32" t="s">
        <v>299</v>
      </c>
      <c r="F51" s="32" t="s">
        <v>299</v>
      </c>
      <c r="G51" s="32" t="s">
        <v>299</v>
      </c>
      <c r="I51" s="32" t="s">
        <v>299</v>
      </c>
      <c r="K51" s="32" t="s">
        <v>299</v>
      </c>
      <c r="M51" s="32" t="s">
        <v>299</v>
      </c>
      <c r="Q51" s="32" t="s">
        <v>299</v>
      </c>
    </row>
    <row r="52" spans="1:18" ht="16" x14ac:dyDescent="0.2">
      <c r="A52" s="22" t="s">
        <v>396</v>
      </c>
      <c r="B52" s="31" t="s">
        <v>397</v>
      </c>
      <c r="C52" s="32" t="s">
        <v>299</v>
      </c>
      <c r="D52" s="32" t="s">
        <v>299</v>
      </c>
      <c r="E52" s="32" t="s">
        <v>299</v>
      </c>
      <c r="F52" s="32" t="s">
        <v>299</v>
      </c>
      <c r="K52" s="32" t="s">
        <v>299</v>
      </c>
      <c r="M52" s="32" t="s">
        <v>299</v>
      </c>
    </row>
    <row r="53" spans="1:18" ht="16" x14ac:dyDescent="0.2">
      <c r="A53" s="22" t="s">
        <v>398</v>
      </c>
      <c r="B53" s="31" t="s">
        <v>399</v>
      </c>
      <c r="C53" s="32" t="s">
        <v>299</v>
      </c>
      <c r="D53" s="32" t="s">
        <v>299</v>
      </c>
      <c r="E53" s="32" t="s">
        <v>299</v>
      </c>
      <c r="F53" s="32" t="s">
        <v>299</v>
      </c>
      <c r="G53" s="32" t="s">
        <v>299</v>
      </c>
      <c r="H53" s="32" t="s">
        <v>299</v>
      </c>
      <c r="I53" s="32" t="s">
        <v>299</v>
      </c>
      <c r="J53" s="32" t="s">
        <v>299</v>
      </c>
      <c r="K53" s="32" t="s">
        <v>299</v>
      </c>
      <c r="M53" s="32" t="s">
        <v>299</v>
      </c>
      <c r="O53" s="32" t="s">
        <v>299</v>
      </c>
      <c r="Q53" s="32" t="s">
        <v>299</v>
      </c>
    </row>
    <row r="54" spans="1:18" ht="16" x14ac:dyDescent="0.2">
      <c r="A54" s="22" t="s">
        <v>400</v>
      </c>
      <c r="B54" s="31" t="s">
        <v>401</v>
      </c>
      <c r="C54" s="32" t="s">
        <v>299</v>
      </c>
      <c r="D54" s="32" t="s">
        <v>299</v>
      </c>
      <c r="E54" s="32" t="s">
        <v>299</v>
      </c>
      <c r="F54" s="32" t="s">
        <v>299</v>
      </c>
      <c r="G54" s="32" t="s">
        <v>299</v>
      </c>
      <c r="K54" s="32" t="s">
        <v>299</v>
      </c>
      <c r="M54" s="32" t="s">
        <v>299</v>
      </c>
    </row>
    <row r="55" spans="1:18" ht="16" x14ac:dyDescent="0.2">
      <c r="A55" s="22" t="s">
        <v>402</v>
      </c>
      <c r="B55" s="31" t="s">
        <v>403</v>
      </c>
      <c r="C55" s="32" t="s">
        <v>299</v>
      </c>
      <c r="D55" s="32" t="s">
        <v>299</v>
      </c>
      <c r="E55" s="32" t="s">
        <v>299</v>
      </c>
      <c r="F55" s="32" t="s">
        <v>299</v>
      </c>
      <c r="K55" s="32" t="s">
        <v>299</v>
      </c>
      <c r="M55" s="32" t="s">
        <v>299</v>
      </c>
    </row>
    <row r="56" spans="1:18" ht="16" x14ac:dyDescent="0.2">
      <c r="A56" s="22" t="s">
        <v>404</v>
      </c>
      <c r="B56" s="31" t="s">
        <v>405</v>
      </c>
      <c r="C56" s="32" t="s">
        <v>299</v>
      </c>
      <c r="D56" s="32" t="s">
        <v>299</v>
      </c>
      <c r="E56" s="32" t="s">
        <v>299</v>
      </c>
      <c r="F56" s="32" t="s">
        <v>299</v>
      </c>
      <c r="G56" s="32" t="s">
        <v>299</v>
      </c>
      <c r="H56" s="32" t="s">
        <v>299</v>
      </c>
      <c r="I56" s="32" t="s">
        <v>299</v>
      </c>
      <c r="J56" s="32" t="s">
        <v>299</v>
      </c>
      <c r="K56" s="32" t="s">
        <v>299</v>
      </c>
      <c r="M56" s="32" t="s">
        <v>299</v>
      </c>
      <c r="O56" s="32" t="s">
        <v>299</v>
      </c>
      <c r="Q56" s="32" t="s">
        <v>299</v>
      </c>
      <c r="R56" s="32" t="s">
        <v>299</v>
      </c>
    </row>
    <row r="57" spans="1:18" ht="16" x14ac:dyDescent="0.2">
      <c r="A57" s="22" t="s">
        <v>406</v>
      </c>
      <c r="B57" s="31" t="s">
        <v>501</v>
      </c>
      <c r="C57" s="32" t="s">
        <v>299</v>
      </c>
      <c r="D57" s="32" t="s">
        <v>299</v>
      </c>
      <c r="E57" s="32" t="s">
        <v>299</v>
      </c>
      <c r="F57" s="32" t="s">
        <v>299</v>
      </c>
      <c r="G57" s="32" t="s">
        <v>299</v>
      </c>
      <c r="K57" s="32" t="s">
        <v>299</v>
      </c>
      <c r="M57" s="32" t="s">
        <v>299</v>
      </c>
    </row>
    <row r="58" spans="1:18" ht="16" x14ac:dyDescent="0.2">
      <c r="A58" s="22" t="s">
        <v>407</v>
      </c>
      <c r="B58" s="31" t="s">
        <v>408</v>
      </c>
      <c r="C58" s="32" t="s">
        <v>299</v>
      </c>
      <c r="F58" s="32" t="s">
        <v>299</v>
      </c>
      <c r="K58" s="32" t="s">
        <v>299</v>
      </c>
    </row>
    <row r="59" spans="1:18" ht="16" x14ac:dyDescent="0.2">
      <c r="A59" s="22" t="s">
        <v>409</v>
      </c>
      <c r="B59" s="31" t="s">
        <v>512</v>
      </c>
      <c r="C59" s="32" t="s">
        <v>299</v>
      </c>
      <c r="D59" s="32" t="s">
        <v>299</v>
      </c>
      <c r="E59" s="32" t="s">
        <v>299</v>
      </c>
      <c r="F59" s="32" t="s">
        <v>299</v>
      </c>
      <c r="K59" s="32" t="s">
        <v>299</v>
      </c>
      <c r="M59" s="32" t="s">
        <v>299</v>
      </c>
    </row>
    <row r="60" spans="1:18" ht="16" x14ac:dyDescent="0.2">
      <c r="A60" s="22" t="s">
        <v>411</v>
      </c>
      <c r="B60" s="31" t="s">
        <v>513</v>
      </c>
      <c r="C60" s="32" t="s">
        <v>299</v>
      </c>
      <c r="D60" s="32" t="s">
        <v>299</v>
      </c>
      <c r="E60" s="32" t="s">
        <v>299</v>
      </c>
      <c r="F60" s="32" t="s">
        <v>299</v>
      </c>
      <c r="K60" s="32" t="s">
        <v>299</v>
      </c>
      <c r="M60" s="32" t="s">
        <v>299</v>
      </c>
    </row>
    <row r="61" spans="1:18" ht="16" x14ac:dyDescent="0.2">
      <c r="A61" s="22" t="s">
        <v>413</v>
      </c>
      <c r="B61" s="31" t="s">
        <v>414</v>
      </c>
      <c r="C61" s="32" t="s">
        <v>299</v>
      </c>
      <c r="D61" s="32" t="s">
        <v>299</v>
      </c>
      <c r="E61" s="32" t="s">
        <v>299</v>
      </c>
      <c r="F61" s="32" t="s">
        <v>299</v>
      </c>
      <c r="G61" s="32" t="s">
        <v>299</v>
      </c>
      <c r="K61" s="32" t="s">
        <v>299</v>
      </c>
      <c r="M61" s="32" t="s">
        <v>299</v>
      </c>
    </row>
    <row r="62" spans="1:18" ht="16" x14ac:dyDescent="0.2">
      <c r="A62" s="22" t="s">
        <v>415</v>
      </c>
      <c r="B62" s="31" t="s">
        <v>514</v>
      </c>
      <c r="C62" s="32" t="s">
        <v>299</v>
      </c>
      <c r="D62" s="32" t="s">
        <v>299</v>
      </c>
      <c r="E62" s="32" t="s">
        <v>299</v>
      </c>
      <c r="F62" s="32" t="s">
        <v>299</v>
      </c>
      <c r="G62" s="32" t="s">
        <v>299</v>
      </c>
      <c r="K62" s="32" t="s">
        <v>299</v>
      </c>
      <c r="M62" s="32" t="s">
        <v>299</v>
      </c>
    </row>
    <row r="63" spans="1:18" ht="16" x14ac:dyDescent="0.2">
      <c r="A63" s="22" t="s">
        <v>416</v>
      </c>
      <c r="B63" s="31" t="s">
        <v>417</v>
      </c>
      <c r="C63" s="32" t="s">
        <v>299</v>
      </c>
      <c r="D63" s="32" t="s">
        <v>299</v>
      </c>
      <c r="E63" s="32" t="s">
        <v>299</v>
      </c>
    </row>
    <row r="64" spans="1:18" ht="16" x14ac:dyDescent="0.2">
      <c r="A64" s="22" t="s">
        <v>418</v>
      </c>
      <c r="B64" s="31" t="s">
        <v>515</v>
      </c>
      <c r="C64" s="32" t="s">
        <v>299</v>
      </c>
      <c r="D64" s="32" t="s">
        <v>299</v>
      </c>
    </row>
    <row r="65" spans="1:18" ht="16" x14ac:dyDescent="0.2">
      <c r="A65" s="22" t="s">
        <v>420</v>
      </c>
      <c r="B65" s="31" t="s">
        <v>516</v>
      </c>
      <c r="C65" s="32" t="s">
        <v>299</v>
      </c>
      <c r="D65" s="32" t="s">
        <v>299</v>
      </c>
      <c r="E65" s="32" t="s">
        <v>299</v>
      </c>
      <c r="F65" s="32" t="s">
        <v>299</v>
      </c>
      <c r="G65" s="32" t="s">
        <v>299</v>
      </c>
      <c r="K65" s="32" t="s">
        <v>299</v>
      </c>
      <c r="M65" s="32" t="s">
        <v>299</v>
      </c>
    </row>
    <row r="66" spans="1:18" ht="16" x14ac:dyDescent="0.2">
      <c r="A66" s="22" t="s">
        <v>422</v>
      </c>
      <c r="B66" s="31" t="s">
        <v>423</v>
      </c>
    </row>
    <row r="67" spans="1:18" ht="16" x14ac:dyDescent="0.2">
      <c r="A67" s="22" t="s">
        <v>424</v>
      </c>
      <c r="B67" s="31" t="s">
        <v>425</v>
      </c>
      <c r="C67" s="32" t="s">
        <v>299</v>
      </c>
      <c r="D67" s="32" t="s">
        <v>299</v>
      </c>
      <c r="E67" s="32" t="s">
        <v>299</v>
      </c>
      <c r="F67" s="32" t="s">
        <v>299</v>
      </c>
      <c r="G67" s="32" t="s">
        <v>299</v>
      </c>
      <c r="K67" s="32" t="s">
        <v>299</v>
      </c>
      <c r="M67" s="32" t="s">
        <v>299</v>
      </c>
    </row>
    <row r="68" spans="1:18" ht="16" x14ac:dyDescent="0.2">
      <c r="A68" s="22" t="s">
        <v>426</v>
      </c>
      <c r="B68" s="31" t="s">
        <v>303</v>
      </c>
      <c r="C68" s="32" t="s">
        <v>299</v>
      </c>
      <c r="D68" s="32" t="s">
        <v>299</v>
      </c>
      <c r="E68" s="32" t="s">
        <v>299</v>
      </c>
      <c r="F68" s="32" t="s">
        <v>299</v>
      </c>
      <c r="K68" s="32" t="s">
        <v>299</v>
      </c>
      <c r="M68" s="32" t="s">
        <v>299</v>
      </c>
    </row>
    <row r="69" spans="1:18" ht="16" x14ac:dyDescent="0.2">
      <c r="A69" s="22" t="s">
        <v>427</v>
      </c>
      <c r="B69" s="31" t="s">
        <v>428</v>
      </c>
      <c r="C69" s="32" t="s">
        <v>299</v>
      </c>
      <c r="D69" s="32" t="s">
        <v>299</v>
      </c>
      <c r="E69" s="32" t="s">
        <v>299</v>
      </c>
      <c r="F69" s="32" t="s">
        <v>299</v>
      </c>
      <c r="G69" s="32" t="s">
        <v>299</v>
      </c>
      <c r="K69" s="32" t="s">
        <v>299</v>
      </c>
      <c r="M69" s="32" t="s">
        <v>299</v>
      </c>
    </row>
    <row r="70" spans="1:18" ht="16" x14ac:dyDescent="0.2">
      <c r="A70" s="22" t="s">
        <v>429</v>
      </c>
      <c r="B70" s="31" t="s">
        <v>517</v>
      </c>
      <c r="C70" s="32" t="s">
        <v>299</v>
      </c>
      <c r="D70" s="32" t="s">
        <v>299</v>
      </c>
      <c r="E70" s="32" t="s">
        <v>299</v>
      </c>
      <c r="F70" s="32" t="s">
        <v>299</v>
      </c>
      <c r="M70" s="32" t="s">
        <v>299</v>
      </c>
    </row>
    <row r="71" spans="1:18" ht="16" x14ac:dyDescent="0.2">
      <c r="A71" s="22" t="s">
        <v>431</v>
      </c>
      <c r="B71" s="31" t="s">
        <v>432</v>
      </c>
      <c r="C71" s="32" t="s">
        <v>299</v>
      </c>
      <c r="D71" s="32" t="s">
        <v>299</v>
      </c>
      <c r="E71" s="32" t="s">
        <v>299</v>
      </c>
      <c r="F71" s="32" t="s">
        <v>299</v>
      </c>
      <c r="G71" s="32" t="s">
        <v>299</v>
      </c>
      <c r="K71" s="32" t="s">
        <v>299</v>
      </c>
      <c r="M71" s="32" t="s">
        <v>299</v>
      </c>
    </row>
    <row r="72" spans="1:18" ht="16" x14ac:dyDescent="0.2">
      <c r="A72" s="22" t="s">
        <v>433</v>
      </c>
      <c r="B72" s="31" t="s">
        <v>434</v>
      </c>
      <c r="C72" s="32" t="s">
        <v>299</v>
      </c>
      <c r="D72" s="32" t="s">
        <v>299</v>
      </c>
      <c r="E72" s="32" t="s">
        <v>299</v>
      </c>
      <c r="F72" s="32" t="s">
        <v>299</v>
      </c>
      <c r="G72" s="32" t="s">
        <v>299</v>
      </c>
      <c r="H72" s="32" t="s">
        <v>299</v>
      </c>
      <c r="K72" s="32" t="s">
        <v>299</v>
      </c>
      <c r="M72" s="32" t="s">
        <v>299</v>
      </c>
      <c r="Q72" s="32" t="s">
        <v>299</v>
      </c>
    </row>
    <row r="73" spans="1:18" ht="16" x14ac:dyDescent="0.2">
      <c r="A73" s="22" t="s">
        <v>435</v>
      </c>
      <c r="B73" s="31" t="s">
        <v>436</v>
      </c>
      <c r="C73" s="32" t="s">
        <v>299</v>
      </c>
      <c r="D73" s="32" t="s">
        <v>299</v>
      </c>
      <c r="E73" s="32" t="s">
        <v>299</v>
      </c>
      <c r="F73" s="32" t="s">
        <v>299</v>
      </c>
      <c r="G73" s="32" t="s">
        <v>299</v>
      </c>
      <c r="M73" s="32" t="s">
        <v>299</v>
      </c>
    </row>
    <row r="74" spans="1:18" ht="16" x14ac:dyDescent="0.2">
      <c r="A74" s="22" t="s">
        <v>437</v>
      </c>
      <c r="B74" s="31" t="s">
        <v>438</v>
      </c>
      <c r="C74" s="32" t="s">
        <v>299</v>
      </c>
      <c r="D74" s="32" t="s">
        <v>299</v>
      </c>
      <c r="E74" s="32" t="s">
        <v>299</v>
      </c>
      <c r="F74" s="32" t="s">
        <v>299</v>
      </c>
      <c r="G74" s="32" t="s">
        <v>299</v>
      </c>
      <c r="H74" s="32" t="s">
        <v>299</v>
      </c>
      <c r="I74" s="32" t="s">
        <v>299</v>
      </c>
      <c r="J74" s="32" t="s">
        <v>299</v>
      </c>
      <c r="K74" s="32" t="s">
        <v>299</v>
      </c>
      <c r="M74" s="32" t="s">
        <v>299</v>
      </c>
      <c r="Q74" s="32" t="s">
        <v>299</v>
      </c>
    </row>
    <row r="75" spans="1:18" ht="16" x14ac:dyDescent="0.2">
      <c r="A75" s="22" t="s">
        <v>439</v>
      </c>
      <c r="B75" s="31" t="s">
        <v>440</v>
      </c>
      <c r="C75" s="32" t="s">
        <v>299</v>
      </c>
      <c r="D75" s="32" t="s">
        <v>299</v>
      </c>
      <c r="E75" s="32" t="s">
        <v>299</v>
      </c>
      <c r="F75" s="32" t="s">
        <v>299</v>
      </c>
      <c r="G75" s="32" t="s">
        <v>299</v>
      </c>
      <c r="K75" s="32" t="s">
        <v>299</v>
      </c>
    </row>
    <row r="76" spans="1:18" ht="16" x14ac:dyDescent="0.2">
      <c r="A76" s="22" t="s">
        <v>441</v>
      </c>
      <c r="B76" s="31" t="s">
        <v>376</v>
      </c>
      <c r="C76" s="32" t="s">
        <v>299</v>
      </c>
      <c r="D76" s="32" t="s">
        <v>299</v>
      </c>
      <c r="E76" s="32" t="s">
        <v>299</v>
      </c>
      <c r="F76" s="32" t="s">
        <v>299</v>
      </c>
      <c r="G76" s="32" t="s">
        <v>299</v>
      </c>
      <c r="H76" s="32" t="s">
        <v>299</v>
      </c>
      <c r="I76" s="32" t="s">
        <v>299</v>
      </c>
      <c r="K76" s="32" t="s">
        <v>299</v>
      </c>
      <c r="M76" s="32" t="s">
        <v>299</v>
      </c>
      <c r="O76" s="32" t="s">
        <v>299</v>
      </c>
      <c r="Q76" s="32" t="s">
        <v>299</v>
      </c>
      <c r="R76" s="32" t="s">
        <v>299</v>
      </c>
    </row>
    <row r="77" spans="1:18" ht="16" x14ac:dyDescent="0.2">
      <c r="A77" s="22" t="s">
        <v>442</v>
      </c>
      <c r="B77" s="31" t="s">
        <v>434</v>
      </c>
      <c r="C77" s="32" t="s">
        <v>299</v>
      </c>
      <c r="D77" s="32" t="s">
        <v>299</v>
      </c>
      <c r="E77" s="32" t="s">
        <v>299</v>
      </c>
      <c r="F77" s="32" t="s">
        <v>299</v>
      </c>
    </row>
    <row r="78" spans="1:18" ht="16" x14ac:dyDescent="0.2">
      <c r="A78" s="22" t="s">
        <v>444</v>
      </c>
      <c r="B78" s="31" t="s">
        <v>445</v>
      </c>
      <c r="C78" s="32" t="s">
        <v>299</v>
      </c>
      <c r="D78" s="32" t="s">
        <v>299</v>
      </c>
      <c r="E78" s="32" t="s">
        <v>299</v>
      </c>
      <c r="F78" s="32" t="s">
        <v>299</v>
      </c>
      <c r="G78" s="32" t="s">
        <v>299</v>
      </c>
      <c r="H78" s="32" t="s">
        <v>299</v>
      </c>
      <c r="I78" s="32" t="s">
        <v>299</v>
      </c>
      <c r="J78" s="32" t="s">
        <v>299</v>
      </c>
      <c r="K78" s="32" t="s">
        <v>299</v>
      </c>
      <c r="M78" s="32" t="s">
        <v>299</v>
      </c>
      <c r="Q78" s="32" t="s">
        <v>299</v>
      </c>
    </row>
    <row r="79" spans="1:18" ht="16" x14ac:dyDescent="0.2">
      <c r="A79" s="22" t="s">
        <v>446</v>
      </c>
      <c r="B79" s="31" t="s">
        <v>447</v>
      </c>
      <c r="C79" s="32" t="s">
        <v>299</v>
      </c>
      <c r="D79" s="32" t="s">
        <v>299</v>
      </c>
      <c r="E79" s="32" t="s">
        <v>299</v>
      </c>
      <c r="F79" s="32" t="s">
        <v>299</v>
      </c>
    </row>
    <row r="80" spans="1:18" ht="16" x14ac:dyDescent="0.2">
      <c r="A80" s="22" t="s">
        <v>448</v>
      </c>
      <c r="B80" s="31" t="s">
        <v>449</v>
      </c>
      <c r="C80" s="32" t="s">
        <v>299</v>
      </c>
      <c r="D80" s="32" t="s">
        <v>299</v>
      </c>
      <c r="E80" s="32" t="s">
        <v>299</v>
      </c>
    </row>
    <row r="81" spans="1:18" ht="16" x14ac:dyDescent="0.2">
      <c r="A81" s="22" t="s">
        <v>450</v>
      </c>
      <c r="B81" s="31" t="s">
        <v>451</v>
      </c>
      <c r="C81" s="32" t="s">
        <v>299</v>
      </c>
      <c r="D81" s="32" t="s">
        <v>299</v>
      </c>
      <c r="E81" s="32" t="s">
        <v>299</v>
      </c>
      <c r="F81" s="32" t="s">
        <v>299</v>
      </c>
      <c r="K81" s="32" t="s">
        <v>299</v>
      </c>
      <c r="M81" s="32" t="s">
        <v>299</v>
      </c>
    </row>
    <row r="82" spans="1:18" ht="16" x14ac:dyDescent="0.2">
      <c r="A82" s="22" t="s">
        <v>452</v>
      </c>
      <c r="B82" s="31" t="s">
        <v>518</v>
      </c>
      <c r="C82" s="32" t="s">
        <v>299</v>
      </c>
      <c r="D82" s="32" t="s">
        <v>299</v>
      </c>
      <c r="E82" s="32" t="s">
        <v>299</v>
      </c>
      <c r="M82" s="32" t="s">
        <v>299</v>
      </c>
    </row>
    <row r="83" spans="1:18" ht="16" x14ac:dyDescent="0.2">
      <c r="A83" s="22" t="s">
        <v>454</v>
      </c>
      <c r="B83" s="31" t="s">
        <v>455</v>
      </c>
      <c r="C83" s="32" t="s">
        <v>299</v>
      </c>
      <c r="D83" s="32" t="s">
        <v>299</v>
      </c>
      <c r="E83" s="32" t="s">
        <v>299</v>
      </c>
      <c r="F83" s="32" t="s">
        <v>299</v>
      </c>
      <c r="G83" s="32" t="s">
        <v>299</v>
      </c>
      <c r="H83" s="32" t="s">
        <v>299</v>
      </c>
      <c r="I83" s="32" t="s">
        <v>299</v>
      </c>
      <c r="J83" s="32" t="s">
        <v>299</v>
      </c>
      <c r="K83" s="32" t="s">
        <v>299</v>
      </c>
      <c r="M83" s="32" t="s">
        <v>299</v>
      </c>
      <c r="Q83" s="32" t="s">
        <v>299</v>
      </c>
    </row>
    <row r="84" spans="1:18" ht="16" x14ac:dyDescent="0.2">
      <c r="A84" s="22" t="s">
        <v>456</v>
      </c>
      <c r="B84" s="31" t="s">
        <v>457</v>
      </c>
      <c r="C84" s="32" t="s">
        <v>299</v>
      </c>
      <c r="D84" s="32" t="s">
        <v>299</v>
      </c>
      <c r="E84" s="32" t="s">
        <v>299</v>
      </c>
      <c r="F84" s="32" t="s">
        <v>299</v>
      </c>
    </row>
    <row r="85" spans="1:18" ht="16" x14ac:dyDescent="0.2">
      <c r="A85" s="22" t="s">
        <v>458</v>
      </c>
      <c r="B85" s="31" t="s">
        <v>459</v>
      </c>
      <c r="C85" s="32" t="s">
        <v>299</v>
      </c>
      <c r="D85" s="32" t="s">
        <v>299</v>
      </c>
      <c r="E85" s="32" t="s">
        <v>299</v>
      </c>
      <c r="F85" s="32" t="s">
        <v>299</v>
      </c>
      <c r="K85" s="32" t="s">
        <v>299</v>
      </c>
      <c r="M85" s="32" t="s">
        <v>299</v>
      </c>
    </row>
    <row r="86" spans="1:18" ht="16" x14ac:dyDescent="0.2">
      <c r="A86" s="22" t="s">
        <v>460</v>
      </c>
      <c r="B86" s="31" t="s">
        <v>461</v>
      </c>
      <c r="C86" s="32" t="s">
        <v>299</v>
      </c>
      <c r="D86" s="32" t="s">
        <v>299</v>
      </c>
      <c r="E86" s="32" t="s">
        <v>299</v>
      </c>
      <c r="F86" s="32" t="s">
        <v>299</v>
      </c>
      <c r="M86" s="32" t="s">
        <v>299</v>
      </c>
    </row>
    <row r="87" spans="1:18" ht="16" x14ac:dyDescent="0.2">
      <c r="A87" s="22" t="s">
        <v>462</v>
      </c>
      <c r="B87" s="31" t="s">
        <v>463</v>
      </c>
      <c r="C87" s="32" t="s">
        <v>299</v>
      </c>
      <c r="D87" s="32" t="s">
        <v>299</v>
      </c>
      <c r="E87" s="32" t="s">
        <v>299</v>
      </c>
      <c r="F87" s="32" t="s">
        <v>299</v>
      </c>
      <c r="G87" s="32" t="s">
        <v>299</v>
      </c>
      <c r="H87" s="32" t="s">
        <v>299</v>
      </c>
      <c r="I87" s="32" t="s">
        <v>299</v>
      </c>
      <c r="J87" s="32" t="s">
        <v>299</v>
      </c>
      <c r="K87" s="32" t="s">
        <v>299</v>
      </c>
      <c r="M87" s="32" t="s">
        <v>299</v>
      </c>
      <c r="O87" s="32" t="s">
        <v>299</v>
      </c>
      <c r="Q87" s="32" t="s">
        <v>299</v>
      </c>
    </row>
    <row r="88" spans="1:18" ht="16" x14ac:dyDescent="0.2">
      <c r="A88" s="22" t="s">
        <v>464</v>
      </c>
      <c r="B88" s="31" t="s">
        <v>465</v>
      </c>
      <c r="C88" s="32" t="s">
        <v>299</v>
      </c>
      <c r="D88" s="32" t="s">
        <v>299</v>
      </c>
      <c r="E88" s="32" t="s">
        <v>299</v>
      </c>
      <c r="F88" s="32" t="s">
        <v>299</v>
      </c>
      <c r="G88" s="32" t="s">
        <v>299</v>
      </c>
      <c r="K88" s="32" t="s">
        <v>299</v>
      </c>
      <c r="M88" s="32" t="s">
        <v>299</v>
      </c>
    </row>
    <row r="89" spans="1:18" ht="16" x14ac:dyDescent="0.2">
      <c r="A89" s="22" t="s">
        <v>466</v>
      </c>
      <c r="B89" s="31" t="s">
        <v>519</v>
      </c>
      <c r="C89" s="32" t="s">
        <v>299</v>
      </c>
      <c r="D89" s="32" t="s">
        <v>299</v>
      </c>
      <c r="E89" s="32" t="s">
        <v>299</v>
      </c>
      <c r="F89" s="32" t="s">
        <v>299</v>
      </c>
      <c r="G89" s="32" t="s">
        <v>299</v>
      </c>
      <c r="H89" s="32" t="s">
        <v>299</v>
      </c>
      <c r="I89" s="32" t="s">
        <v>299</v>
      </c>
      <c r="J89" s="32" t="s">
        <v>299</v>
      </c>
      <c r="K89" s="32" t="s">
        <v>299</v>
      </c>
      <c r="M89" s="32" t="s">
        <v>299</v>
      </c>
      <c r="Q89" s="32" t="s">
        <v>299</v>
      </c>
    </row>
    <row r="90" spans="1:18" ht="16" x14ac:dyDescent="0.2">
      <c r="A90" s="22" t="s">
        <v>468</v>
      </c>
      <c r="B90" s="31" t="s">
        <v>315</v>
      </c>
      <c r="C90" s="32" t="s">
        <v>299</v>
      </c>
      <c r="E90" s="32" t="s">
        <v>299</v>
      </c>
      <c r="F90" s="32" t="s">
        <v>299</v>
      </c>
      <c r="G90" s="32" t="s">
        <v>299</v>
      </c>
      <c r="K90" s="32" t="s">
        <v>299</v>
      </c>
      <c r="M90" s="32" t="s">
        <v>299</v>
      </c>
    </row>
    <row r="91" spans="1:18" ht="16" x14ac:dyDescent="0.2">
      <c r="A91" s="22" t="s">
        <v>469</v>
      </c>
      <c r="B91" s="31" t="s">
        <v>470</v>
      </c>
      <c r="C91" s="32" t="s">
        <v>299</v>
      </c>
      <c r="D91" s="32" t="s">
        <v>299</v>
      </c>
      <c r="F91" s="32" t="s">
        <v>299</v>
      </c>
      <c r="K91" s="32" t="s">
        <v>299</v>
      </c>
      <c r="M91" s="32" t="s">
        <v>299</v>
      </c>
    </row>
    <row r="92" spans="1:18" ht="16" x14ac:dyDescent="0.2">
      <c r="A92" s="22" t="s">
        <v>471</v>
      </c>
      <c r="B92" s="31" t="s">
        <v>472</v>
      </c>
      <c r="C92" s="32" t="s">
        <v>299</v>
      </c>
      <c r="D92" s="32" t="s">
        <v>299</v>
      </c>
      <c r="E92" s="32" t="s">
        <v>299</v>
      </c>
      <c r="F92" s="32" t="s">
        <v>299</v>
      </c>
      <c r="G92" s="32" t="s">
        <v>299</v>
      </c>
      <c r="H92" s="32" t="s">
        <v>299</v>
      </c>
      <c r="I92" s="32" t="s">
        <v>299</v>
      </c>
      <c r="K92" s="32" t="s">
        <v>299</v>
      </c>
      <c r="M92" s="32" t="s">
        <v>299</v>
      </c>
      <c r="Q92" s="32" t="s">
        <v>299</v>
      </c>
      <c r="R92" s="32" t="s">
        <v>299</v>
      </c>
    </row>
    <row r="93" spans="1:18" ht="16" x14ac:dyDescent="0.2">
      <c r="A93" s="22" t="s">
        <v>473</v>
      </c>
      <c r="B93" s="31" t="s">
        <v>474</v>
      </c>
      <c r="C93" s="32" t="s">
        <v>299</v>
      </c>
      <c r="D93" s="32" t="s">
        <v>299</v>
      </c>
      <c r="E93" s="32" t="s">
        <v>299</v>
      </c>
      <c r="F93" s="32" t="s">
        <v>299</v>
      </c>
      <c r="G93" s="32" t="s">
        <v>299</v>
      </c>
      <c r="I93" s="32" t="s">
        <v>299</v>
      </c>
      <c r="M93" s="32" t="s">
        <v>299</v>
      </c>
    </row>
    <row r="94" spans="1:18" ht="16" x14ac:dyDescent="0.2">
      <c r="A94" s="22" t="s">
        <v>475</v>
      </c>
      <c r="B94" s="31" t="s">
        <v>520</v>
      </c>
      <c r="C94" s="32" t="s">
        <v>299</v>
      </c>
      <c r="D94" s="32" t="s">
        <v>299</v>
      </c>
      <c r="E94" s="32" t="s">
        <v>299</v>
      </c>
      <c r="F94" s="32" t="s">
        <v>299</v>
      </c>
      <c r="G94" s="32" t="s">
        <v>299</v>
      </c>
      <c r="H94" s="32" t="s">
        <v>299</v>
      </c>
      <c r="I94" s="32" t="s">
        <v>299</v>
      </c>
      <c r="J94" s="32" t="s">
        <v>299</v>
      </c>
      <c r="K94" s="32" t="s">
        <v>299</v>
      </c>
      <c r="M94" s="32" t="s">
        <v>299</v>
      </c>
      <c r="Q94" s="32" t="s">
        <v>299</v>
      </c>
    </row>
    <row r="95" spans="1:18" ht="16" x14ac:dyDescent="0.2">
      <c r="A95" s="22" t="s">
        <v>477</v>
      </c>
      <c r="B95" s="31" t="s">
        <v>478</v>
      </c>
      <c r="C95" s="32" t="s">
        <v>299</v>
      </c>
      <c r="D95" s="32" t="s">
        <v>299</v>
      </c>
      <c r="E95" s="32" t="s">
        <v>299</v>
      </c>
      <c r="F95" s="32" t="s">
        <v>299</v>
      </c>
      <c r="K95" s="32" t="s">
        <v>299</v>
      </c>
      <c r="M95" s="32" t="s">
        <v>299</v>
      </c>
    </row>
    <row r="96" spans="1:18" ht="16" x14ac:dyDescent="0.2">
      <c r="A96" s="22" t="s">
        <v>479</v>
      </c>
      <c r="B96" s="31" t="s">
        <v>521</v>
      </c>
    </row>
    <row r="97" spans="1:18" ht="16" x14ac:dyDescent="0.2">
      <c r="A97" s="22" t="s">
        <v>481</v>
      </c>
      <c r="B97" s="31" t="s">
        <v>382</v>
      </c>
      <c r="C97" s="32" t="s">
        <v>299</v>
      </c>
      <c r="D97" s="32" t="s">
        <v>299</v>
      </c>
      <c r="E97" s="32" t="s">
        <v>299</v>
      </c>
      <c r="G97" s="32" t="s">
        <v>299</v>
      </c>
      <c r="H97" s="32" t="s">
        <v>299</v>
      </c>
      <c r="I97" s="32" t="s">
        <v>299</v>
      </c>
      <c r="J97" s="32" t="s">
        <v>299</v>
      </c>
      <c r="K97" s="32" t="s">
        <v>299</v>
      </c>
      <c r="M97" s="32" t="s">
        <v>299</v>
      </c>
      <c r="Q97" s="32" t="s">
        <v>299</v>
      </c>
    </row>
    <row r="98" spans="1:18" ht="16" x14ac:dyDescent="0.2">
      <c r="A98" s="22" t="s">
        <v>483</v>
      </c>
      <c r="B98" s="31" t="s">
        <v>484</v>
      </c>
      <c r="C98" s="32" t="s">
        <v>299</v>
      </c>
      <c r="D98" s="32" t="s">
        <v>299</v>
      </c>
      <c r="E98" s="32" t="s">
        <v>299</v>
      </c>
      <c r="F98" s="32" t="s">
        <v>299</v>
      </c>
      <c r="G98" s="32" t="s">
        <v>299</v>
      </c>
      <c r="K98" s="32" t="s">
        <v>299</v>
      </c>
      <c r="M98" s="32" t="s">
        <v>299</v>
      </c>
    </row>
    <row r="99" spans="1:18" ht="16" x14ac:dyDescent="0.2">
      <c r="A99" s="22" t="s">
        <v>485</v>
      </c>
      <c r="B99" s="31" t="s">
        <v>96</v>
      </c>
      <c r="C99" s="32" t="s">
        <v>299</v>
      </c>
      <c r="D99" s="32" t="s">
        <v>299</v>
      </c>
      <c r="E99" s="32" t="s">
        <v>299</v>
      </c>
      <c r="F99" s="32" t="s">
        <v>299</v>
      </c>
      <c r="G99" s="32" t="s">
        <v>299</v>
      </c>
      <c r="H99" s="32" t="s">
        <v>299</v>
      </c>
      <c r="I99" s="32" t="s">
        <v>299</v>
      </c>
      <c r="J99" s="32" t="s">
        <v>299</v>
      </c>
      <c r="K99" s="32" t="s">
        <v>299</v>
      </c>
      <c r="M99" s="32" t="s">
        <v>299</v>
      </c>
      <c r="Q99" s="32" t="s">
        <v>299</v>
      </c>
      <c r="R99" s="32" t="s">
        <v>299</v>
      </c>
    </row>
    <row r="100" spans="1:18" ht="16" x14ac:dyDescent="0.2">
      <c r="A100" s="22" t="s">
        <v>486</v>
      </c>
      <c r="B100" s="31" t="s">
        <v>487</v>
      </c>
      <c r="C100" s="32" t="s">
        <v>299</v>
      </c>
      <c r="D100" s="32" t="s">
        <v>299</v>
      </c>
      <c r="E100" s="32" t="s">
        <v>299</v>
      </c>
      <c r="F100" s="32" t="s">
        <v>299</v>
      </c>
      <c r="G100" s="32" t="s">
        <v>299</v>
      </c>
      <c r="K100" s="32" t="s">
        <v>299</v>
      </c>
      <c r="M100" s="32" t="s">
        <v>299</v>
      </c>
    </row>
    <row r="101" spans="1:18" ht="16" x14ac:dyDescent="0.2">
      <c r="A101" s="22" t="s">
        <v>488</v>
      </c>
      <c r="B101" s="31" t="s">
        <v>489</v>
      </c>
      <c r="C101" s="32" t="s">
        <v>299</v>
      </c>
      <c r="D101" s="32" t="s">
        <v>299</v>
      </c>
      <c r="E101" s="32" t="s">
        <v>299</v>
      </c>
      <c r="F101" s="32" t="s">
        <v>299</v>
      </c>
      <c r="G101" s="32" t="s">
        <v>299</v>
      </c>
      <c r="H101" s="32" t="s">
        <v>299</v>
      </c>
      <c r="I101" s="32" t="s">
        <v>299</v>
      </c>
      <c r="K101" s="32" t="s">
        <v>299</v>
      </c>
      <c r="M101" s="32" t="s">
        <v>299</v>
      </c>
      <c r="O101" s="32" t="s">
        <v>299</v>
      </c>
      <c r="Q101" s="32" t="s">
        <v>299</v>
      </c>
      <c r="R101" s="32" t="s">
        <v>299</v>
      </c>
    </row>
    <row r="102" spans="1:18" x14ac:dyDescent="0.2">
      <c r="B102" s="3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B036-E19A-C84B-8D69-5666862D5BE3}">
  <dimension ref="A1:AJ104"/>
  <sheetViews>
    <sheetView workbookViewId="0">
      <pane xSplit="2" ySplit="2" topLeftCell="AG81" activePane="bottomRight" state="frozen"/>
      <selection pane="topRight"/>
      <selection pane="bottomLeft"/>
      <selection pane="bottomRight" activeCell="AJ104" sqref="AJ104"/>
    </sheetView>
  </sheetViews>
  <sheetFormatPr baseColWidth="10" defaultColWidth="8.83203125" defaultRowHeight="15" x14ac:dyDescent="0.2"/>
  <cols>
    <col min="1" max="1" width="8" style="22" customWidth="1"/>
    <col min="2" max="35" width="28" style="22" customWidth="1"/>
    <col min="36" max="16384" width="8.83203125" style="22"/>
  </cols>
  <sheetData>
    <row r="1" spans="1:36" ht="16" x14ac:dyDescent="0.2">
      <c r="A1" s="27" t="s">
        <v>490</v>
      </c>
      <c r="B1" s="27" t="s">
        <v>491</v>
      </c>
      <c r="C1" s="28" t="s">
        <v>492</v>
      </c>
      <c r="D1" s="29"/>
      <c r="E1" s="29"/>
      <c r="F1" s="29"/>
      <c r="G1" s="29"/>
      <c r="H1" s="29"/>
      <c r="I1" s="29"/>
      <c r="J1" s="29"/>
      <c r="K1" s="29"/>
      <c r="L1" s="33" t="s">
        <v>493</v>
      </c>
      <c r="M1" s="28" t="s">
        <v>494</v>
      </c>
      <c r="N1" s="29"/>
      <c r="O1" s="29"/>
      <c r="P1" s="29"/>
      <c r="Q1" s="29"/>
      <c r="R1" s="29"/>
      <c r="S1" s="29"/>
      <c r="T1" s="29"/>
      <c r="U1" s="28" t="s">
        <v>495</v>
      </c>
      <c r="V1" s="29"/>
      <c r="W1" s="33" t="s">
        <v>496</v>
      </c>
      <c r="X1" s="33" t="s">
        <v>497</v>
      </c>
      <c r="Y1" s="33" t="s">
        <v>498</v>
      </c>
      <c r="Z1" s="33" t="s">
        <v>500</v>
      </c>
      <c r="AA1" s="28" t="s">
        <v>134</v>
      </c>
      <c r="AB1" s="29"/>
      <c r="AC1" s="29"/>
      <c r="AD1" s="29"/>
      <c r="AE1" s="29"/>
      <c r="AF1" s="29"/>
      <c r="AG1" s="29"/>
      <c r="AH1" s="28" t="s">
        <v>135</v>
      </c>
      <c r="AI1" s="29"/>
    </row>
    <row r="2" spans="1:36" ht="32" x14ac:dyDescent="0.2">
      <c r="A2" s="29"/>
      <c r="B2" s="29"/>
      <c r="C2" s="30" t="s">
        <v>100</v>
      </c>
      <c r="D2" s="30" t="s">
        <v>101</v>
      </c>
      <c r="E2" s="30" t="s">
        <v>102</v>
      </c>
      <c r="F2" s="30" t="s">
        <v>103</v>
      </c>
      <c r="G2" s="30" t="s">
        <v>104</v>
      </c>
      <c r="H2" s="30" t="s">
        <v>105</v>
      </c>
      <c r="I2" s="30" t="s">
        <v>106</v>
      </c>
      <c r="J2" s="30" t="s">
        <v>107</v>
      </c>
      <c r="K2" s="30" t="s">
        <v>108</v>
      </c>
      <c r="L2" s="30" t="s">
        <v>109</v>
      </c>
      <c r="M2" s="30" t="s">
        <v>110</v>
      </c>
      <c r="N2" s="30" t="s">
        <v>111</v>
      </c>
      <c r="O2" s="30" t="s">
        <v>112</v>
      </c>
      <c r="P2" s="30" t="s">
        <v>113</v>
      </c>
      <c r="Q2" s="30" t="s">
        <v>114</v>
      </c>
      <c r="R2" s="30" t="s">
        <v>115</v>
      </c>
      <c r="S2" s="30" t="s">
        <v>116</v>
      </c>
      <c r="T2" s="30" t="s">
        <v>117</v>
      </c>
      <c r="U2" s="30" t="s">
        <v>118</v>
      </c>
      <c r="V2" s="30" t="s">
        <v>119</v>
      </c>
      <c r="W2" s="30" t="s">
        <v>120</v>
      </c>
      <c r="X2" s="30" t="s">
        <v>121</v>
      </c>
      <c r="Y2" s="30" t="s">
        <v>122</v>
      </c>
      <c r="Z2" s="30" t="s">
        <v>123</v>
      </c>
      <c r="AA2" s="30" t="s">
        <v>124</v>
      </c>
      <c r="AB2" s="30" t="s">
        <v>125</v>
      </c>
      <c r="AC2" s="30" t="s">
        <v>126</v>
      </c>
      <c r="AD2" s="30" t="s">
        <v>127</v>
      </c>
      <c r="AE2" s="30" t="s">
        <v>128</v>
      </c>
      <c r="AF2" s="30" t="s">
        <v>129</v>
      </c>
      <c r="AG2" s="30" t="s">
        <v>130</v>
      </c>
      <c r="AH2" s="30" t="s">
        <v>131</v>
      </c>
      <c r="AI2" s="30" t="s">
        <v>132</v>
      </c>
      <c r="AJ2" s="30" t="s">
        <v>523</v>
      </c>
    </row>
    <row r="3" spans="1:36" ht="16" x14ac:dyDescent="0.2">
      <c r="A3" s="22" t="s">
        <v>297</v>
      </c>
      <c r="B3" s="31" t="s">
        <v>501</v>
      </c>
      <c r="E3" s="32" t="s">
        <v>299</v>
      </c>
      <c r="H3" s="32" t="s">
        <v>299</v>
      </c>
      <c r="K3" s="32" t="s">
        <v>299</v>
      </c>
      <c r="L3" s="32" t="s">
        <v>299</v>
      </c>
      <c r="O3" s="32" t="s">
        <v>299</v>
      </c>
      <c r="P3" s="32" t="s">
        <v>299</v>
      </c>
      <c r="Q3" s="32" t="s">
        <v>299</v>
      </c>
      <c r="R3" s="32" t="s">
        <v>299</v>
      </c>
      <c r="T3" s="32" t="s">
        <v>299</v>
      </c>
      <c r="AB3" s="32" t="s">
        <v>299</v>
      </c>
      <c r="AD3" s="32" t="s">
        <v>299</v>
      </c>
      <c r="AH3" s="32" t="s">
        <v>299</v>
      </c>
      <c r="AJ3" s="22">
        <f>COUNTIF(C3:AI3,"FP")</f>
        <v>12</v>
      </c>
    </row>
    <row r="4" spans="1:36" ht="16" x14ac:dyDescent="0.2">
      <c r="A4" s="22" t="s">
        <v>300</v>
      </c>
      <c r="B4" s="31" t="s">
        <v>1</v>
      </c>
      <c r="H4" s="32" t="s">
        <v>299</v>
      </c>
      <c r="K4" s="32" t="s">
        <v>299</v>
      </c>
      <c r="L4" s="32" t="s">
        <v>299</v>
      </c>
      <c r="O4" s="32" t="s">
        <v>299</v>
      </c>
      <c r="P4" s="32" t="s">
        <v>299</v>
      </c>
      <c r="Q4" s="32" t="s">
        <v>299</v>
      </c>
      <c r="R4" s="32" t="s">
        <v>299</v>
      </c>
      <c r="T4" s="32" t="s">
        <v>299</v>
      </c>
      <c r="AC4" s="32" t="s">
        <v>299</v>
      </c>
      <c r="AD4" s="32" t="s">
        <v>299</v>
      </c>
      <c r="AF4" s="32" t="s">
        <v>299</v>
      </c>
      <c r="AJ4" s="22">
        <f t="shared" ref="AJ4:AJ67" si="0">COUNTIF(C4:AI4,"FP")</f>
        <v>11</v>
      </c>
    </row>
    <row r="5" spans="1:36" ht="16" x14ac:dyDescent="0.2">
      <c r="A5" s="22" t="s">
        <v>302</v>
      </c>
      <c r="B5" s="31" t="s">
        <v>303</v>
      </c>
      <c r="H5" s="32" t="s">
        <v>299</v>
      </c>
      <c r="K5" s="32" t="s">
        <v>299</v>
      </c>
      <c r="L5" s="32" t="s">
        <v>299</v>
      </c>
      <c r="Q5" s="32" t="s">
        <v>299</v>
      </c>
      <c r="R5" s="32" t="s">
        <v>299</v>
      </c>
      <c r="T5" s="32" t="s">
        <v>299</v>
      </c>
      <c r="X5" s="32" t="s">
        <v>299</v>
      </c>
      <c r="AB5" s="32" t="s">
        <v>299</v>
      </c>
      <c r="AF5" s="32" t="s">
        <v>299</v>
      </c>
      <c r="AJ5" s="22">
        <f t="shared" si="0"/>
        <v>9</v>
      </c>
    </row>
    <row r="6" spans="1:36" ht="16" x14ac:dyDescent="0.2">
      <c r="A6" s="22" t="s">
        <v>304</v>
      </c>
      <c r="B6" s="31" t="s">
        <v>305</v>
      </c>
      <c r="K6" s="32" t="s">
        <v>299</v>
      </c>
      <c r="O6" s="32" t="s">
        <v>299</v>
      </c>
      <c r="P6" s="32" t="s">
        <v>299</v>
      </c>
      <c r="Q6" s="32" t="s">
        <v>299</v>
      </c>
      <c r="R6" s="32" t="s">
        <v>299</v>
      </c>
      <c r="T6" s="32" t="s">
        <v>299</v>
      </c>
      <c r="AB6" s="32" t="s">
        <v>299</v>
      </c>
      <c r="AH6" s="32" t="s">
        <v>299</v>
      </c>
      <c r="AJ6" s="22">
        <f t="shared" si="0"/>
        <v>8</v>
      </c>
    </row>
    <row r="7" spans="1:36" ht="16" x14ac:dyDescent="0.2">
      <c r="A7" s="22" t="s">
        <v>306</v>
      </c>
      <c r="B7" s="31" t="s">
        <v>307</v>
      </c>
      <c r="AJ7" s="22">
        <f t="shared" si="0"/>
        <v>0</v>
      </c>
    </row>
    <row r="8" spans="1:36" ht="16" x14ac:dyDescent="0.2">
      <c r="A8" s="22" t="s">
        <v>308</v>
      </c>
      <c r="B8" s="31" t="s">
        <v>309</v>
      </c>
      <c r="H8" s="32" t="s">
        <v>299</v>
      </c>
      <c r="K8" s="32" t="s">
        <v>299</v>
      </c>
      <c r="L8" s="32" t="s">
        <v>299</v>
      </c>
      <c r="O8" s="32" t="s">
        <v>299</v>
      </c>
      <c r="P8" s="32" t="s">
        <v>299</v>
      </c>
      <c r="Q8" s="32" t="s">
        <v>299</v>
      </c>
      <c r="R8" s="32" t="s">
        <v>299</v>
      </c>
      <c r="T8" s="32" t="s">
        <v>299</v>
      </c>
      <c r="U8" s="32" t="s">
        <v>299</v>
      </c>
      <c r="V8" s="32" t="s">
        <v>299</v>
      </c>
      <c r="Z8" s="32" t="s">
        <v>299</v>
      </c>
      <c r="AB8" s="32" t="s">
        <v>299</v>
      </c>
      <c r="AC8" s="32" t="s">
        <v>299</v>
      </c>
      <c r="AD8" s="32" t="s">
        <v>299</v>
      </c>
      <c r="AF8" s="32" t="s">
        <v>299</v>
      </c>
      <c r="AG8" s="32" t="s">
        <v>299</v>
      </c>
      <c r="AI8" s="32" t="s">
        <v>299</v>
      </c>
      <c r="AJ8" s="22">
        <f t="shared" si="0"/>
        <v>17</v>
      </c>
    </row>
    <row r="9" spans="1:36" ht="16" x14ac:dyDescent="0.2">
      <c r="A9" s="22" t="s">
        <v>310</v>
      </c>
      <c r="B9" s="31" t="s">
        <v>311</v>
      </c>
      <c r="K9" s="32" t="s">
        <v>299</v>
      </c>
      <c r="Q9" s="32" t="s">
        <v>299</v>
      </c>
      <c r="R9" s="32" t="s">
        <v>299</v>
      </c>
      <c r="S9" s="32" t="s">
        <v>299</v>
      </c>
      <c r="T9" s="32" t="s">
        <v>299</v>
      </c>
      <c r="X9" s="32" t="s">
        <v>299</v>
      </c>
      <c r="AB9" s="32" t="s">
        <v>299</v>
      </c>
      <c r="AF9" s="32" t="s">
        <v>299</v>
      </c>
      <c r="AJ9" s="22">
        <f t="shared" si="0"/>
        <v>8</v>
      </c>
    </row>
    <row r="10" spans="1:36" ht="16" x14ac:dyDescent="0.2">
      <c r="A10" s="22" t="s">
        <v>312</v>
      </c>
      <c r="B10" s="31" t="s">
        <v>325</v>
      </c>
      <c r="K10" s="32" t="s">
        <v>299</v>
      </c>
      <c r="L10" s="32" t="s">
        <v>299</v>
      </c>
      <c r="O10" s="32" t="s">
        <v>299</v>
      </c>
      <c r="P10" s="32" t="s">
        <v>299</v>
      </c>
      <c r="Q10" s="32" t="s">
        <v>299</v>
      </c>
      <c r="R10" s="32" t="s">
        <v>299</v>
      </c>
      <c r="S10" s="32" t="s">
        <v>299</v>
      </c>
      <c r="T10" s="32" t="s">
        <v>299</v>
      </c>
      <c r="AB10" s="32" t="s">
        <v>299</v>
      </c>
      <c r="AC10" s="32" t="s">
        <v>299</v>
      </c>
      <c r="AF10" s="32" t="s">
        <v>299</v>
      </c>
      <c r="AH10" s="32" t="s">
        <v>299</v>
      </c>
      <c r="AJ10" s="22">
        <f t="shared" si="0"/>
        <v>12</v>
      </c>
    </row>
    <row r="11" spans="1:36" ht="16" x14ac:dyDescent="0.2">
      <c r="A11" s="22" t="s">
        <v>314</v>
      </c>
      <c r="B11" s="31" t="s">
        <v>315</v>
      </c>
      <c r="L11" s="32" t="s">
        <v>299</v>
      </c>
      <c r="M11" s="32" t="s">
        <v>299</v>
      </c>
      <c r="N11" s="32" t="s">
        <v>299</v>
      </c>
      <c r="Q11" s="32" t="s">
        <v>299</v>
      </c>
      <c r="R11" s="32" t="s">
        <v>299</v>
      </c>
      <c r="T11" s="32" t="s">
        <v>299</v>
      </c>
      <c r="U11" s="32" t="s">
        <v>299</v>
      </c>
      <c r="Z11" s="32" t="s">
        <v>299</v>
      </c>
      <c r="AD11" s="32" t="s">
        <v>299</v>
      </c>
      <c r="AF11" s="32" t="s">
        <v>299</v>
      </c>
      <c r="AJ11" s="22">
        <f t="shared" si="0"/>
        <v>10</v>
      </c>
    </row>
    <row r="12" spans="1:36" ht="16" x14ac:dyDescent="0.2">
      <c r="A12" s="22" t="s">
        <v>316</v>
      </c>
      <c r="B12" s="31" t="s">
        <v>502</v>
      </c>
      <c r="AJ12" s="22">
        <f t="shared" si="0"/>
        <v>0</v>
      </c>
    </row>
    <row r="13" spans="1:36" ht="16" x14ac:dyDescent="0.2">
      <c r="A13" s="22" t="s">
        <v>318</v>
      </c>
      <c r="B13" s="31" t="s">
        <v>524</v>
      </c>
      <c r="AJ13" s="22">
        <f t="shared" si="0"/>
        <v>0</v>
      </c>
    </row>
    <row r="14" spans="1:36" ht="16" x14ac:dyDescent="0.2">
      <c r="A14" s="22" t="s">
        <v>320</v>
      </c>
      <c r="B14" s="31" t="s">
        <v>525</v>
      </c>
      <c r="K14" s="32" t="s">
        <v>299</v>
      </c>
      <c r="AB14" s="32" t="s">
        <v>299</v>
      </c>
      <c r="AJ14" s="22">
        <f t="shared" si="0"/>
        <v>2</v>
      </c>
    </row>
    <row r="15" spans="1:36" ht="16" x14ac:dyDescent="0.2">
      <c r="A15" s="22" t="s">
        <v>322</v>
      </c>
      <c r="B15" s="31" t="s">
        <v>323</v>
      </c>
      <c r="C15" s="32" t="s">
        <v>299</v>
      </c>
      <c r="D15" s="32" t="s">
        <v>299</v>
      </c>
      <c r="E15" s="32" t="s">
        <v>299</v>
      </c>
      <c r="F15" s="32" t="s">
        <v>299</v>
      </c>
      <c r="G15" s="32" t="s">
        <v>299</v>
      </c>
      <c r="H15" s="32" t="s">
        <v>299</v>
      </c>
      <c r="I15" s="32" t="s">
        <v>299</v>
      </c>
      <c r="J15" s="32" t="s">
        <v>299</v>
      </c>
      <c r="K15" s="32" t="s">
        <v>299</v>
      </c>
      <c r="L15" s="32" t="s">
        <v>299</v>
      </c>
      <c r="O15" s="32" t="s">
        <v>299</v>
      </c>
      <c r="P15" s="32" t="s">
        <v>299</v>
      </c>
      <c r="Q15" s="32" t="s">
        <v>299</v>
      </c>
      <c r="R15" s="32" t="s">
        <v>299</v>
      </c>
      <c r="S15" s="32" t="s">
        <v>299</v>
      </c>
      <c r="T15" s="32" t="s">
        <v>299</v>
      </c>
      <c r="U15" s="32" t="s">
        <v>299</v>
      </c>
      <c r="V15" s="32" t="s">
        <v>299</v>
      </c>
      <c r="W15" s="32" t="s">
        <v>299</v>
      </c>
      <c r="X15" s="32" t="s">
        <v>299</v>
      </c>
      <c r="AB15" s="32" t="s">
        <v>299</v>
      </c>
      <c r="AH15" s="32" t="s">
        <v>299</v>
      </c>
      <c r="AJ15" s="22">
        <f t="shared" si="0"/>
        <v>22</v>
      </c>
    </row>
    <row r="16" spans="1:36" ht="16" x14ac:dyDescent="0.2">
      <c r="A16" s="22" t="s">
        <v>324</v>
      </c>
      <c r="B16" s="31" t="s">
        <v>325</v>
      </c>
      <c r="AJ16" s="22">
        <f t="shared" si="0"/>
        <v>0</v>
      </c>
    </row>
    <row r="17" spans="1:36" ht="16" x14ac:dyDescent="0.2">
      <c r="A17" s="22" t="s">
        <v>326</v>
      </c>
      <c r="B17" s="31" t="s">
        <v>526</v>
      </c>
      <c r="H17" s="32" t="s">
        <v>299</v>
      </c>
      <c r="K17" s="32" t="s">
        <v>299</v>
      </c>
      <c r="L17" s="32" t="s">
        <v>299</v>
      </c>
      <c r="Q17" s="32" t="s">
        <v>299</v>
      </c>
      <c r="R17" s="32" t="s">
        <v>299</v>
      </c>
      <c r="T17" s="32" t="s">
        <v>299</v>
      </c>
      <c r="X17" s="32" t="s">
        <v>299</v>
      </c>
      <c r="AB17" s="32" t="s">
        <v>299</v>
      </c>
      <c r="AF17" s="32" t="s">
        <v>299</v>
      </c>
      <c r="AJ17" s="22">
        <f t="shared" si="0"/>
        <v>9</v>
      </c>
    </row>
    <row r="18" spans="1:36" ht="16" x14ac:dyDescent="0.2">
      <c r="A18" s="22" t="s">
        <v>328</v>
      </c>
      <c r="B18" s="31" t="s">
        <v>527</v>
      </c>
      <c r="AJ18" s="22">
        <f t="shared" si="0"/>
        <v>0</v>
      </c>
    </row>
    <row r="19" spans="1:36" ht="16" x14ac:dyDescent="0.2">
      <c r="A19" s="22" t="s">
        <v>330</v>
      </c>
      <c r="B19" s="31" t="s">
        <v>504</v>
      </c>
      <c r="K19" s="32" t="s">
        <v>299</v>
      </c>
      <c r="L19" s="32" t="s">
        <v>299</v>
      </c>
      <c r="O19" s="32" t="s">
        <v>299</v>
      </c>
      <c r="P19" s="32" t="s">
        <v>299</v>
      </c>
      <c r="Q19" s="32" t="s">
        <v>299</v>
      </c>
      <c r="R19" s="32" t="s">
        <v>299</v>
      </c>
      <c r="T19" s="32" t="s">
        <v>299</v>
      </c>
      <c r="AB19" s="32" t="s">
        <v>299</v>
      </c>
      <c r="AC19" s="32" t="s">
        <v>299</v>
      </c>
      <c r="AH19" s="32" t="s">
        <v>299</v>
      </c>
      <c r="AJ19" s="22">
        <f t="shared" si="0"/>
        <v>10</v>
      </c>
    </row>
    <row r="20" spans="1:36" ht="16" x14ac:dyDescent="0.2">
      <c r="A20" s="22" t="s">
        <v>332</v>
      </c>
      <c r="B20" s="31" t="s">
        <v>505</v>
      </c>
      <c r="D20" s="32" t="s">
        <v>299</v>
      </c>
      <c r="F20" s="32" t="s">
        <v>299</v>
      </c>
      <c r="H20" s="32" t="s">
        <v>299</v>
      </c>
      <c r="I20" s="32" t="s">
        <v>299</v>
      </c>
      <c r="J20" s="32" t="s">
        <v>299</v>
      </c>
      <c r="K20" s="32" t="s">
        <v>299</v>
      </c>
      <c r="L20" s="32" t="s">
        <v>299</v>
      </c>
      <c r="O20" s="32" t="s">
        <v>299</v>
      </c>
      <c r="P20" s="32" t="s">
        <v>299</v>
      </c>
      <c r="R20" s="32" t="s">
        <v>299</v>
      </c>
      <c r="S20" s="32" t="s">
        <v>299</v>
      </c>
      <c r="T20" s="32" t="s">
        <v>299</v>
      </c>
      <c r="U20" s="32" t="s">
        <v>299</v>
      </c>
      <c r="V20" s="32" t="s">
        <v>299</v>
      </c>
      <c r="W20" s="32" t="s">
        <v>299</v>
      </c>
      <c r="Z20" s="32" t="s">
        <v>299</v>
      </c>
      <c r="AC20" s="32" t="s">
        <v>299</v>
      </c>
      <c r="AD20" s="32" t="s">
        <v>299</v>
      </c>
      <c r="AF20" s="32" t="s">
        <v>299</v>
      </c>
      <c r="AH20" s="32" t="s">
        <v>299</v>
      </c>
      <c r="AI20" s="32" t="s">
        <v>299</v>
      </c>
      <c r="AJ20" s="22">
        <f t="shared" si="0"/>
        <v>21</v>
      </c>
    </row>
    <row r="21" spans="1:36" ht="16" x14ac:dyDescent="0.2">
      <c r="A21" s="22" t="s">
        <v>334</v>
      </c>
      <c r="B21" s="31" t="s">
        <v>506</v>
      </c>
      <c r="K21" s="32" t="s">
        <v>299</v>
      </c>
      <c r="AC21" s="32" t="s">
        <v>299</v>
      </c>
      <c r="AJ21" s="22">
        <f t="shared" si="0"/>
        <v>2</v>
      </c>
    </row>
    <row r="22" spans="1:36" ht="16" x14ac:dyDescent="0.2">
      <c r="A22" s="22" t="s">
        <v>336</v>
      </c>
      <c r="B22" s="31" t="s">
        <v>528</v>
      </c>
      <c r="AJ22" s="22">
        <f t="shared" si="0"/>
        <v>0</v>
      </c>
    </row>
    <row r="23" spans="1:36" ht="16" x14ac:dyDescent="0.2">
      <c r="A23" s="22" t="s">
        <v>338</v>
      </c>
      <c r="B23" s="31" t="s">
        <v>529</v>
      </c>
      <c r="K23" s="32" t="s">
        <v>299</v>
      </c>
      <c r="L23" s="32" t="s">
        <v>299</v>
      </c>
      <c r="O23" s="32" t="s">
        <v>299</v>
      </c>
      <c r="P23" s="32" t="s">
        <v>299</v>
      </c>
      <c r="Q23" s="32" t="s">
        <v>299</v>
      </c>
      <c r="R23" s="32" t="s">
        <v>299</v>
      </c>
      <c r="T23" s="32" t="s">
        <v>299</v>
      </c>
      <c r="Z23" s="32" t="s">
        <v>299</v>
      </c>
      <c r="AB23" s="32" t="s">
        <v>299</v>
      </c>
      <c r="AC23" s="32" t="s">
        <v>299</v>
      </c>
      <c r="AD23" s="32" t="s">
        <v>299</v>
      </c>
      <c r="AF23" s="32" t="s">
        <v>299</v>
      </c>
      <c r="AG23" s="32" t="s">
        <v>299</v>
      </c>
      <c r="AH23" s="32" t="s">
        <v>299</v>
      </c>
      <c r="AJ23" s="22">
        <f t="shared" si="0"/>
        <v>14</v>
      </c>
    </row>
    <row r="24" spans="1:36" ht="16" x14ac:dyDescent="0.2">
      <c r="A24" s="22" t="s">
        <v>340</v>
      </c>
      <c r="B24" s="31" t="s">
        <v>341</v>
      </c>
      <c r="AJ24" s="22">
        <f t="shared" si="0"/>
        <v>0</v>
      </c>
    </row>
    <row r="25" spans="1:36" ht="16" x14ac:dyDescent="0.2">
      <c r="A25" s="22" t="s">
        <v>342</v>
      </c>
      <c r="B25" s="31" t="s">
        <v>343</v>
      </c>
      <c r="L25" s="32" t="s">
        <v>299</v>
      </c>
      <c r="AD25" s="32" t="s">
        <v>299</v>
      </c>
      <c r="AJ25" s="22">
        <f t="shared" si="0"/>
        <v>2</v>
      </c>
    </row>
    <row r="26" spans="1:36" ht="16" x14ac:dyDescent="0.2">
      <c r="A26" s="22" t="s">
        <v>344</v>
      </c>
      <c r="B26" s="31" t="s">
        <v>345</v>
      </c>
      <c r="K26" s="32" t="s">
        <v>299</v>
      </c>
      <c r="L26" s="32" t="s">
        <v>299</v>
      </c>
      <c r="R26" s="32" t="s">
        <v>299</v>
      </c>
      <c r="T26" s="32" t="s">
        <v>299</v>
      </c>
      <c r="U26" s="32" t="s">
        <v>299</v>
      </c>
      <c r="Z26" s="32" t="s">
        <v>299</v>
      </c>
      <c r="AC26" s="32" t="s">
        <v>299</v>
      </c>
      <c r="AD26" s="32" t="s">
        <v>299</v>
      </c>
      <c r="AF26" s="32" t="s">
        <v>299</v>
      </c>
      <c r="AG26" s="32" t="s">
        <v>299</v>
      </c>
      <c r="AJ26" s="22">
        <f t="shared" si="0"/>
        <v>10</v>
      </c>
    </row>
    <row r="27" spans="1:36" ht="16" x14ac:dyDescent="0.2">
      <c r="A27" s="22" t="s">
        <v>346</v>
      </c>
      <c r="B27" s="31" t="s">
        <v>347</v>
      </c>
      <c r="K27" s="32" t="s">
        <v>299</v>
      </c>
      <c r="L27" s="32" t="s">
        <v>299</v>
      </c>
      <c r="O27" s="32" t="s">
        <v>299</v>
      </c>
      <c r="P27" s="32" t="s">
        <v>299</v>
      </c>
      <c r="R27" s="32" t="s">
        <v>299</v>
      </c>
      <c r="S27" s="32" t="s">
        <v>299</v>
      </c>
      <c r="T27" s="32" t="s">
        <v>299</v>
      </c>
      <c r="AB27" s="32" t="s">
        <v>299</v>
      </c>
      <c r="AC27" s="32" t="s">
        <v>299</v>
      </c>
      <c r="AD27" s="32" t="s">
        <v>299</v>
      </c>
      <c r="AF27" s="32" t="s">
        <v>299</v>
      </c>
      <c r="AG27" s="32" t="s">
        <v>299</v>
      </c>
      <c r="AJ27" s="22">
        <f t="shared" si="0"/>
        <v>12</v>
      </c>
    </row>
    <row r="28" spans="1:36" ht="16" x14ac:dyDescent="0.2">
      <c r="A28" s="22" t="s">
        <v>348</v>
      </c>
      <c r="B28" s="31" t="s">
        <v>507</v>
      </c>
      <c r="Q28" s="32" t="s">
        <v>299</v>
      </c>
      <c r="AC28" s="32" t="s">
        <v>299</v>
      </c>
      <c r="AJ28" s="22">
        <f t="shared" si="0"/>
        <v>2</v>
      </c>
    </row>
    <row r="29" spans="1:36" ht="16" x14ac:dyDescent="0.2">
      <c r="A29" s="22" t="s">
        <v>350</v>
      </c>
      <c r="B29" s="31" t="s">
        <v>508</v>
      </c>
      <c r="H29" s="32" t="s">
        <v>299</v>
      </c>
      <c r="K29" s="32" t="s">
        <v>299</v>
      </c>
      <c r="L29" s="32" t="s">
        <v>299</v>
      </c>
      <c r="M29" s="32" t="s">
        <v>299</v>
      </c>
      <c r="N29" s="32" t="s">
        <v>299</v>
      </c>
      <c r="O29" s="32" t="s">
        <v>299</v>
      </c>
      <c r="P29" s="32" t="s">
        <v>299</v>
      </c>
      <c r="Q29" s="32" t="s">
        <v>299</v>
      </c>
      <c r="R29" s="32" t="s">
        <v>299</v>
      </c>
      <c r="T29" s="32" t="s">
        <v>299</v>
      </c>
      <c r="V29" s="32" t="s">
        <v>299</v>
      </c>
      <c r="Z29" s="32" t="s">
        <v>299</v>
      </c>
      <c r="AB29" s="32" t="s">
        <v>299</v>
      </c>
      <c r="AC29" s="32" t="s">
        <v>299</v>
      </c>
      <c r="AD29" s="32" t="s">
        <v>299</v>
      </c>
      <c r="AF29" s="32" t="s">
        <v>299</v>
      </c>
      <c r="AJ29" s="22">
        <f t="shared" si="0"/>
        <v>16</v>
      </c>
    </row>
    <row r="30" spans="1:36" ht="16" x14ac:dyDescent="0.2">
      <c r="A30" s="22" t="s">
        <v>352</v>
      </c>
      <c r="B30" s="31" t="s">
        <v>353</v>
      </c>
      <c r="Q30" s="32" t="s">
        <v>299</v>
      </c>
      <c r="R30" s="32" t="s">
        <v>299</v>
      </c>
      <c r="S30" s="32" t="s">
        <v>299</v>
      </c>
      <c r="T30" s="32" t="s">
        <v>299</v>
      </c>
      <c r="AF30" s="32" t="s">
        <v>299</v>
      </c>
      <c r="AJ30" s="22">
        <f t="shared" si="0"/>
        <v>5</v>
      </c>
    </row>
    <row r="31" spans="1:36" ht="16" x14ac:dyDescent="0.2">
      <c r="A31" s="22" t="s">
        <v>354</v>
      </c>
      <c r="B31" s="31" t="s">
        <v>355</v>
      </c>
      <c r="AJ31" s="22">
        <f t="shared" si="0"/>
        <v>0</v>
      </c>
    </row>
    <row r="32" spans="1:36" ht="16" x14ac:dyDescent="0.2">
      <c r="A32" s="22" t="s">
        <v>356</v>
      </c>
      <c r="B32" s="31" t="s">
        <v>357</v>
      </c>
      <c r="C32" s="32" t="s">
        <v>299</v>
      </c>
      <c r="E32" s="32" t="s">
        <v>299</v>
      </c>
      <c r="H32" s="32" t="s">
        <v>299</v>
      </c>
      <c r="K32" s="32" t="s">
        <v>299</v>
      </c>
      <c r="L32" s="32" t="s">
        <v>299</v>
      </c>
      <c r="R32" s="32" t="s">
        <v>299</v>
      </c>
      <c r="T32" s="32" t="s">
        <v>299</v>
      </c>
      <c r="AB32" s="32" t="s">
        <v>299</v>
      </c>
      <c r="AD32" s="32" t="s">
        <v>299</v>
      </c>
      <c r="AH32" s="32" t="s">
        <v>299</v>
      </c>
      <c r="AJ32" s="22">
        <f t="shared" si="0"/>
        <v>10</v>
      </c>
    </row>
    <row r="33" spans="1:36" ht="16" x14ac:dyDescent="0.2">
      <c r="A33" s="22" t="s">
        <v>358</v>
      </c>
      <c r="B33" s="31" t="s">
        <v>530</v>
      </c>
      <c r="H33" s="32" t="s">
        <v>299</v>
      </c>
      <c r="K33" s="32" t="s">
        <v>299</v>
      </c>
      <c r="L33" s="32" t="s">
        <v>299</v>
      </c>
      <c r="R33" s="32" t="s">
        <v>299</v>
      </c>
      <c r="T33" s="32" t="s">
        <v>299</v>
      </c>
      <c r="AB33" s="32" t="s">
        <v>299</v>
      </c>
      <c r="AD33" s="32" t="s">
        <v>299</v>
      </c>
      <c r="AJ33" s="22">
        <f t="shared" si="0"/>
        <v>7</v>
      </c>
    </row>
    <row r="34" spans="1:36" ht="16" x14ac:dyDescent="0.2">
      <c r="A34" s="22" t="s">
        <v>360</v>
      </c>
      <c r="B34" s="31" t="s">
        <v>361</v>
      </c>
      <c r="H34" s="32" t="s">
        <v>299</v>
      </c>
      <c r="K34" s="32" t="s">
        <v>299</v>
      </c>
      <c r="L34" s="32" t="s">
        <v>299</v>
      </c>
      <c r="R34" s="32" t="s">
        <v>299</v>
      </c>
      <c r="T34" s="32" t="s">
        <v>299</v>
      </c>
      <c r="Z34" s="32" t="s">
        <v>299</v>
      </c>
      <c r="AB34" s="32" t="s">
        <v>299</v>
      </c>
      <c r="AC34" s="32" t="s">
        <v>299</v>
      </c>
      <c r="AD34" s="32" t="s">
        <v>299</v>
      </c>
      <c r="AF34" s="32" t="s">
        <v>299</v>
      </c>
      <c r="AJ34" s="22">
        <f t="shared" si="0"/>
        <v>10</v>
      </c>
    </row>
    <row r="35" spans="1:36" ht="16" x14ac:dyDescent="0.2">
      <c r="A35" s="22" t="s">
        <v>362</v>
      </c>
      <c r="B35" s="31" t="s">
        <v>363</v>
      </c>
      <c r="C35" s="32" t="s">
        <v>299</v>
      </c>
      <c r="D35" s="32" t="s">
        <v>299</v>
      </c>
      <c r="E35" s="32" t="s">
        <v>299</v>
      </c>
      <c r="F35" s="32" t="s">
        <v>299</v>
      </c>
      <c r="G35" s="32" t="s">
        <v>299</v>
      </c>
      <c r="H35" s="32" t="s">
        <v>299</v>
      </c>
      <c r="I35" s="32" t="s">
        <v>299</v>
      </c>
      <c r="J35" s="32" t="s">
        <v>299</v>
      </c>
      <c r="K35" s="32" t="s">
        <v>299</v>
      </c>
      <c r="L35" s="32" t="s">
        <v>299</v>
      </c>
      <c r="O35" s="32" t="s">
        <v>299</v>
      </c>
      <c r="P35" s="32" t="s">
        <v>299</v>
      </c>
      <c r="Q35" s="32" t="s">
        <v>299</v>
      </c>
      <c r="R35" s="32" t="s">
        <v>299</v>
      </c>
      <c r="S35" s="32" t="s">
        <v>299</v>
      </c>
      <c r="T35" s="32" t="s">
        <v>299</v>
      </c>
      <c r="V35" s="32" t="s">
        <v>299</v>
      </c>
      <c r="W35" s="32" t="s">
        <v>299</v>
      </c>
      <c r="AB35" s="32" t="s">
        <v>299</v>
      </c>
      <c r="AC35" s="32" t="s">
        <v>299</v>
      </c>
      <c r="AD35" s="32" t="s">
        <v>299</v>
      </c>
      <c r="AF35" s="32" t="s">
        <v>299</v>
      </c>
      <c r="AG35" s="32" t="s">
        <v>299</v>
      </c>
      <c r="AI35" s="32" t="s">
        <v>299</v>
      </c>
      <c r="AJ35" s="22">
        <f t="shared" si="0"/>
        <v>24</v>
      </c>
    </row>
    <row r="36" spans="1:36" ht="16" x14ac:dyDescent="0.2">
      <c r="A36" s="22" t="s">
        <v>364</v>
      </c>
      <c r="B36" s="31" t="s">
        <v>365</v>
      </c>
      <c r="Q36" s="32" t="s">
        <v>299</v>
      </c>
      <c r="R36" s="32" t="s">
        <v>299</v>
      </c>
      <c r="T36" s="32" t="s">
        <v>299</v>
      </c>
      <c r="AB36" s="32" t="s">
        <v>299</v>
      </c>
      <c r="AD36" s="32" t="s">
        <v>299</v>
      </c>
      <c r="AJ36" s="22">
        <f t="shared" si="0"/>
        <v>5</v>
      </c>
    </row>
    <row r="37" spans="1:36" ht="16" x14ac:dyDescent="0.2">
      <c r="A37" s="22" t="s">
        <v>366</v>
      </c>
      <c r="B37" s="31" t="s">
        <v>509</v>
      </c>
      <c r="C37" s="32" t="s">
        <v>299</v>
      </c>
      <c r="D37" s="32" t="s">
        <v>299</v>
      </c>
      <c r="E37" s="32" t="s">
        <v>299</v>
      </c>
      <c r="F37" s="32" t="s">
        <v>299</v>
      </c>
      <c r="G37" s="32" t="s">
        <v>299</v>
      </c>
      <c r="H37" s="32" t="s">
        <v>299</v>
      </c>
      <c r="I37" s="32" t="s">
        <v>299</v>
      </c>
      <c r="J37" s="32" t="s">
        <v>299</v>
      </c>
      <c r="K37" s="32" t="s">
        <v>299</v>
      </c>
      <c r="L37" s="32" t="s">
        <v>299</v>
      </c>
      <c r="O37" s="32" t="s">
        <v>299</v>
      </c>
      <c r="P37" s="32" t="s">
        <v>299</v>
      </c>
      <c r="Q37" s="32" t="s">
        <v>299</v>
      </c>
      <c r="R37" s="32" t="s">
        <v>299</v>
      </c>
      <c r="S37" s="32" t="s">
        <v>299</v>
      </c>
      <c r="T37" s="32" t="s">
        <v>299</v>
      </c>
      <c r="W37" s="32" t="s">
        <v>299</v>
      </c>
      <c r="Z37" s="32" t="s">
        <v>299</v>
      </c>
      <c r="AB37" s="32" t="s">
        <v>299</v>
      </c>
      <c r="AC37" s="32" t="s">
        <v>299</v>
      </c>
      <c r="AD37" s="32" t="s">
        <v>299</v>
      </c>
      <c r="AI37" s="32" t="s">
        <v>299</v>
      </c>
      <c r="AJ37" s="22">
        <f t="shared" si="0"/>
        <v>22</v>
      </c>
    </row>
    <row r="38" spans="1:36" ht="16" x14ac:dyDescent="0.2">
      <c r="A38" s="22" t="s">
        <v>368</v>
      </c>
      <c r="B38" s="31" t="s">
        <v>531</v>
      </c>
      <c r="AJ38" s="22">
        <f t="shared" si="0"/>
        <v>0</v>
      </c>
    </row>
    <row r="39" spans="1:36" ht="16" x14ac:dyDescent="0.2">
      <c r="A39" s="22" t="s">
        <v>370</v>
      </c>
      <c r="B39" s="31" t="s">
        <v>532</v>
      </c>
      <c r="H39" s="32" t="s">
        <v>299</v>
      </c>
      <c r="K39" s="32" t="s">
        <v>299</v>
      </c>
      <c r="L39" s="32" t="s">
        <v>299</v>
      </c>
      <c r="O39" s="32" t="s">
        <v>299</v>
      </c>
      <c r="P39" s="32" t="s">
        <v>299</v>
      </c>
      <c r="Q39" s="32" t="s">
        <v>299</v>
      </c>
      <c r="R39" s="32" t="s">
        <v>299</v>
      </c>
      <c r="T39" s="32" t="s">
        <v>299</v>
      </c>
      <c r="U39" s="32" t="s">
        <v>299</v>
      </c>
      <c r="V39" s="32" t="s">
        <v>299</v>
      </c>
      <c r="Z39" s="32" t="s">
        <v>299</v>
      </c>
      <c r="AB39" s="32" t="s">
        <v>299</v>
      </c>
      <c r="AC39" s="32" t="s">
        <v>299</v>
      </c>
      <c r="AD39" s="32" t="s">
        <v>299</v>
      </c>
      <c r="AF39" s="32" t="s">
        <v>299</v>
      </c>
      <c r="AG39" s="32" t="s">
        <v>299</v>
      </c>
      <c r="AI39" s="32" t="s">
        <v>299</v>
      </c>
      <c r="AJ39" s="22">
        <f t="shared" si="0"/>
        <v>17</v>
      </c>
    </row>
    <row r="40" spans="1:36" ht="16" x14ac:dyDescent="0.2">
      <c r="A40" s="22" t="s">
        <v>372</v>
      </c>
      <c r="B40" s="31" t="s">
        <v>37</v>
      </c>
      <c r="K40" s="32" t="s">
        <v>299</v>
      </c>
      <c r="Z40" s="32" t="s">
        <v>299</v>
      </c>
      <c r="AJ40" s="22">
        <f t="shared" si="0"/>
        <v>2</v>
      </c>
    </row>
    <row r="41" spans="1:36" ht="16" x14ac:dyDescent="0.2">
      <c r="A41" s="22" t="s">
        <v>373</v>
      </c>
      <c r="B41" s="31" t="s">
        <v>510</v>
      </c>
      <c r="G41" s="32" t="s">
        <v>299</v>
      </c>
      <c r="H41" s="32" t="s">
        <v>299</v>
      </c>
      <c r="J41" s="32" t="s">
        <v>299</v>
      </c>
      <c r="K41" s="32" t="s">
        <v>299</v>
      </c>
      <c r="L41" s="32" t="s">
        <v>299</v>
      </c>
      <c r="M41" s="32" t="s">
        <v>299</v>
      </c>
      <c r="Q41" s="32" t="s">
        <v>299</v>
      </c>
      <c r="R41" s="32" t="s">
        <v>299</v>
      </c>
      <c r="T41" s="32" t="s">
        <v>299</v>
      </c>
      <c r="U41" s="32" t="s">
        <v>299</v>
      </c>
      <c r="W41" s="32" t="s">
        <v>299</v>
      </c>
      <c r="X41" s="32" t="s">
        <v>299</v>
      </c>
      <c r="Z41" s="32" t="s">
        <v>299</v>
      </c>
      <c r="AB41" s="32" t="s">
        <v>299</v>
      </c>
      <c r="AC41" s="32" t="s">
        <v>299</v>
      </c>
      <c r="AF41" s="32" t="s">
        <v>299</v>
      </c>
      <c r="AJ41" s="22">
        <f t="shared" si="0"/>
        <v>16</v>
      </c>
    </row>
    <row r="42" spans="1:36" ht="16" x14ac:dyDescent="0.2">
      <c r="A42" s="22" t="s">
        <v>375</v>
      </c>
      <c r="B42" s="31" t="s">
        <v>533</v>
      </c>
      <c r="K42" s="32" t="s">
        <v>299</v>
      </c>
      <c r="L42" s="32" t="s">
        <v>299</v>
      </c>
      <c r="O42" s="32" t="s">
        <v>299</v>
      </c>
      <c r="P42" s="32" t="s">
        <v>299</v>
      </c>
      <c r="Q42" s="32" t="s">
        <v>299</v>
      </c>
      <c r="R42" s="32" t="s">
        <v>299</v>
      </c>
      <c r="T42" s="32" t="s">
        <v>299</v>
      </c>
      <c r="X42" s="32" t="s">
        <v>299</v>
      </c>
      <c r="Z42" s="32" t="s">
        <v>299</v>
      </c>
      <c r="AB42" s="32" t="s">
        <v>299</v>
      </c>
      <c r="AC42" s="32" t="s">
        <v>299</v>
      </c>
      <c r="AD42" s="32" t="s">
        <v>299</v>
      </c>
      <c r="AF42" s="32" t="s">
        <v>299</v>
      </c>
      <c r="AG42" s="32" t="s">
        <v>299</v>
      </c>
      <c r="AH42" s="32" t="s">
        <v>299</v>
      </c>
      <c r="AJ42" s="22">
        <f t="shared" si="0"/>
        <v>15</v>
      </c>
    </row>
    <row r="43" spans="1:36" ht="16" x14ac:dyDescent="0.2">
      <c r="A43" s="22" t="s">
        <v>377</v>
      </c>
      <c r="B43" s="31" t="s">
        <v>378</v>
      </c>
      <c r="H43" s="32" t="s">
        <v>299</v>
      </c>
      <c r="K43" s="32" t="s">
        <v>299</v>
      </c>
      <c r="L43" s="32" t="s">
        <v>299</v>
      </c>
      <c r="R43" s="32" t="s">
        <v>299</v>
      </c>
      <c r="T43" s="32" t="s">
        <v>299</v>
      </c>
      <c r="AB43" s="32" t="s">
        <v>299</v>
      </c>
      <c r="AD43" s="32" t="s">
        <v>299</v>
      </c>
      <c r="AF43" s="32" t="s">
        <v>299</v>
      </c>
      <c r="AG43" s="32" t="s">
        <v>299</v>
      </c>
      <c r="AJ43" s="22">
        <f t="shared" si="0"/>
        <v>9</v>
      </c>
    </row>
    <row r="44" spans="1:36" ht="16" x14ac:dyDescent="0.2">
      <c r="A44" s="22" t="s">
        <v>379</v>
      </c>
      <c r="B44" s="31" t="s">
        <v>511</v>
      </c>
      <c r="L44" s="32" t="s">
        <v>299</v>
      </c>
      <c r="Q44" s="32" t="s">
        <v>299</v>
      </c>
      <c r="R44" s="32" t="s">
        <v>299</v>
      </c>
      <c r="T44" s="32" t="s">
        <v>299</v>
      </c>
      <c r="AF44" s="32" t="s">
        <v>299</v>
      </c>
      <c r="AJ44" s="22">
        <f t="shared" si="0"/>
        <v>5</v>
      </c>
    </row>
    <row r="45" spans="1:36" ht="16" x14ac:dyDescent="0.2">
      <c r="A45" s="22" t="s">
        <v>381</v>
      </c>
      <c r="B45" s="31" t="s">
        <v>382</v>
      </c>
      <c r="H45" s="32" t="s">
        <v>299</v>
      </c>
      <c r="K45" s="32" t="s">
        <v>299</v>
      </c>
      <c r="L45" s="32" t="s">
        <v>299</v>
      </c>
      <c r="Q45" s="32" t="s">
        <v>299</v>
      </c>
      <c r="R45" s="32" t="s">
        <v>299</v>
      </c>
      <c r="S45" s="32" t="s">
        <v>299</v>
      </c>
      <c r="T45" s="32" t="s">
        <v>299</v>
      </c>
      <c r="X45" s="32" t="s">
        <v>299</v>
      </c>
      <c r="Z45" s="32" t="s">
        <v>299</v>
      </c>
      <c r="AA45" s="32" t="s">
        <v>299</v>
      </c>
      <c r="AB45" s="32" t="s">
        <v>299</v>
      </c>
      <c r="AC45" s="32" t="s">
        <v>299</v>
      </c>
      <c r="AD45" s="32" t="s">
        <v>299</v>
      </c>
      <c r="AF45" s="32" t="s">
        <v>299</v>
      </c>
      <c r="AG45" s="32" t="s">
        <v>299</v>
      </c>
      <c r="AH45" s="32" t="s">
        <v>299</v>
      </c>
      <c r="AJ45" s="22">
        <f t="shared" si="0"/>
        <v>16</v>
      </c>
    </row>
    <row r="46" spans="1:36" ht="16" x14ac:dyDescent="0.2">
      <c r="A46" s="22" t="s">
        <v>383</v>
      </c>
      <c r="B46" s="31" t="s">
        <v>43</v>
      </c>
      <c r="H46" s="32" t="s">
        <v>299</v>
      </c>
      <c r="K46" s="32" t="s">
        <v>299</v>
      </c>
      <c r="L46" s="32" t="s">
        <v>299</v>
      </c>
      <c r="Q46" s="32" t="s">
        <v>299</v>
      </c>
      <c r="R46" s="32" t="s">
        <v>299</v>
      </c>
      <c r="T46" s="32" t="s">
        <v>299</v>
      </c>
      <c r="AB46" s="32" t="s">
        <v>299</v>
      </c>
      <c r="AD46" s="32" t="s">
        <v>299</v>
      </c>
      <c r="AF46" s="32" t="s">
        <v>299</v>
      </c>
      <c r="AJ46" s="22">
        <f t="shared" si="0"/>
        <v>9</v>
      </c>
    </row>
    <row r="47" spans="1:36" ht="16" x14ac:dyDescent="0.2">
      <c r="A47" s="22" t="s">
        <v>385</v>
      </c>
      <c r="B47" s="31" t="s">
        <v>534</v>
      </c>
      <c r="H47" s="32" t="s">
        <v>299</v>
      </c>
      <c r="L47" s="32" t="s">
        <v>299</v>
      </c>
      <c r="O47" s="32" t="s">
        <v>299</v>
      </c>
      <c r="P47" s="32" t="s">
        <v>299</v>
      </c>
      <c r="Q47" s="32" t="s">
        <v>299</v>
      </c>
      <c r="R47" s="32" t="s">
        <v>299</v>
      </c>
      <c r="T47" s="32" t="s">
        <v>299</v>
      </c>
      <c r="Z47" s="32" t="s">
        <v>299</v>
      </c>
      <c r="AD47" s="32" t="s">
        <v>299</v>
      </c>
      <c r="AF47" s="32" t="s">
        <v>299</v>
      </c>
      <c r="AG47" s="32" t="s">
        <v>299</v>
      </c>
      <c r="AJ47" s="22">
        <f t="shared" si="0"/>
        <v>11</v>
      </c>
    </row>
    <row r="48" spans="1:36" ht="16" x14ac:dyDescent="0.2">
      <c r="A48" s="22" t="s">
        <v>387</v>
      </c>
      <c r="B48" s="31" t="s">
        <v>388</v>
      </c>
      <c r="H48" s="32" t="s">
        <v>299</v>
      </c>
      <c r="K48" s="32" t="s">
        <v>299</v>
      </c>
      <c r="L48" s="32" t="s">
        <v>299</v>
      </c>
      <c r="Q48" s="32" t="s">
        <v>299</v>
      </c>
      <c r="R48" s="32" t="s">
        <v>299</v>
      </c>
      <c r="T48" s="32" t="s">
        <v>299</v>
      </c>
      <c r="AB48" s="32" t="s">
        <v>299</v>
      </c>
      <c r="AC48" s="32" t="s">
        <v>299</v>
      </c>
      <c r="AD48" s="32" t="s">
        <v>299</v>
      </c>
      <c r="AF48" s="32" t="s">
        <v>299</v>
      </c>
      <c r="AG48" s="32" t="s">
        <v>299</v>
      </c>
      <c r="AJ48" s="22">
        <f t="shared" si="0"/>
        <v>11</v>
      </c>
    </row>
    <row r="49" spans="1:36" ht="16" x14ac:dyDescent="0.2">
      <c r="A49" s="22" t="s">
        <v>389</v>
      </c>
      <c r="B49" s="31" t="s">
        <v>390</v>
      </c>
      <c r="K49" s="32" t="s">
        <v>299</v>
      </c>
      <c r="L49" s="32" t="s">
        <v>299</v>
      </c>
      <c r="O49" s="32" t="s">
        <v>299</v>
      </c>
      <c r="P49" s="32" t="s">
        <v>299</v>
      </c>
      <c r="Q49" s="32" t="s">
        <v>299</v>
      </c>
      <c r="R49" s="32" t="s">
        <v>299</v>
      </c>
      <c r="T49" s="32" t="s">
        <v>299</v>
      </c>
      <c r="Z49" s="32" t="s">
        <v>299</v>
      </c>
      <c r="AC49" s="32" t="s">
        <v>299</v>
      </c>
      <c r="AD49" s="32" t="s">
        <v>299</v>
      </c>
      <c r="AF49" s="32" t="s">
        <v>299</v>
      </c>
      <c r="AJ49" s="22">
        <f t="shared" si="0"/>
        <v>11</v>
      </c>
    </row>
    <row r="50" spans="1:36" ht="16" x14ac:dyDescent="0.2">
      <c r="A50" s="22" t="s">
        <v>391</v>
      </c>
      <c r="B50" s="31" t="s">
        <v>392</v>
      </c>
      <c r="K50" s="32" t="s">
        <v>299</v>
      </c>
      <c r="L50" s="32" t="s">
        <v>299</v>
      </c>
      <c r="Q50" s="32" t="s">
        <v>299</v>
      </c>
      <c r="R50" s="32" t="s">
        <v>299</v>
      </c>
      <c r="T50" s="32" t="s">
        <v>299</v>
      </c>
      <c r="Z50" s="32" t="s">
        <v>299</v>
      </c>
      <c r="AA50" s="32" t="s">
        <v>299</v>
      </c>
      <c r="AD50" s="32" t="s">
        <v>299</v>
      </c>
      <c r="AF50" s="32" t="s">
        <v>299</v>
      </c>
      <c r="AJ50" s="22">
        <f t="shared" si="0"/>
        <v>9</v>
      </c>
    </row>
    <row r="51" spans="1:36" ht="16" x14ac:dyDescent="0.2">
      <c r="A51" s="22" t="s">
        <v>393</v>
      </c>
      <c r="B51" s="31" t="s">
        <v>394</v>
      </c>
      <c r="K51" s="32" t="s">
        <v>299</v>
      </c>
      <c r="U51" s="32" t="s">
        <v>299</v>
      </c>
      <c r="AC51" s="32" t="s">
        <v>299</v>
      </c>
      <c r="AJ51" s="22">
        <f t="shared" si="0"/>
        <v>3</v>
      </c>
    </row>
    <row r="52" spans="1:36" ht="16" x14ac:dyDescent="0.2">
      <c r="A52" s="22" t="s">
        <v>395</v>
      </c>
      <c r="B52" s="31" t="s">
        <v>535</v>
      </c>
      <c r="H52" s="32" t="s">
        <v>299</v>
      </c>
      <c r="K52" s="32" t="s">
        <v>299</v>
      </c>
      <c r="L52" s="32" t="s">
        <v>299</v>
      </c>
      <c r="O52" s="32" t="s">
        <v>299</v>
      </c>
      <c r="P52" s="32" t="s">
        <v>299</v>
      </c>
      <c r="Q52" s="32" t="s">
        <v>299</v>
      </c>
      <c r="R52" s="32" t="s">
        <v>299</v>
      </c>
      <c r="T52" s="32" t="s">
        <v>299</v>
      </c>
      <c r="U52" s="32" t="s">
        <v>299</v>
      </c>
      <c r="V52" s="32" t="s">
        <v>299</v>
      </c>
      <c r="X52" s="32" t="s">
        <v>299</v>
      </c>
      <c r="AB52" s="32" t="s">
        <v>299</v>
      </c>
      <c r="AF52" s="32" t="s">
        <v>299</v>
      </c>
      <c r="AI52" s="32" t="s">
        <v>299</v>
      </c>
      <c r="AJ52" s="22">
        <f t="shared" si="0"/>
        <v>14</v>
      </c>
    </row>
    <row r="53" spans="1:36" ht="16" x14ac:dyDescent="0.2">
      <c r="A53" s="22" t="s">
        <v>396</v>
      </c>
      <c r="B53" s="31" t="s">
        <v>397</v>
      </c>
      <c r="L53" s="32" t="s">
        <v>299</v>
      </c>
      <c r="R53" s="32" t="s">
        <v>299</v>
      </c>
      <c r="T53" s="32" t="s">
        <v>299</v>
      </c>
      <c r="AD53" s="32" t="s">
        <v>299</v>
      </c>
      <c r="AJ53" s="22">
        <f t="shared" si="0"/>
        <v>4</v>
      </c>
    </row>
    <row r="54" spans="1:36" ht="16" x14ac:dyDescent="0.2">
      <c r="A54" s="22" t="s">
        <v>398</v>
      </c>
      <c r="B54" s="31" t="s">
        <v>536</v>
      </c>
      <c r="K54" s="32" t="s">
        <v>299</v>
      </c>
      <c r="AJ54" s="22">
        <f t="shared" si="0"/>
        <v>1</v>
      </c>
    </row>
    <row r="55" spans="1:36" ht="16" x14ac:dyDescent="0.2">
      <c r="A55" s="22" t="s">
        <v>400</v>
      </c>
      <c r="B55" s="31" t="s">
        <v>537</v>
      </c>
      <c r="H55" s="32" t="s">
        <v>299</v>
      </c>
      <c r="K55" s="32" t="s">
        <v>299</v>
      </c>
      <c r="L55" s="32" t="s">
        <v>299</v>
      </c>
      <c r="R55" s="32" t="s">
        <v>299</v>
      </c>
      <c r="T55" s="32" t="s">
        <v>299</v>
      </c>
      <c r="AB55" s="32" t="s">
        <v>299</v>
      </c>
      <c r="AC55" s="32" t="s">
        <v>299</v>
      </c>
      <c r="AF55" s="32" t="s">
        <v>299</v>
      </c>
      <c r="AG55" s="32" t="s">
        <v>299</v>
      </c>
      <c r="AJ55" s="22">
        <f t="shared" si="0"/>
        <v>9</v>
      </c>
    </row>
    <row r="56" spans="1:36" ht="16" x14ac:dyDescent="0.2">
      <c r="A56" s="22" t="s">
        <v>402</v>
      </c>
      <c r="B56" s="31" t="s">
        <v>403</v>
      </c>
      <c r="Q56" s="32" t="s">
        <v>299</v>
      </c>
      <c r="R56" s="32" t="s">
        <v>299</v>
      </c>
      <c r="T56" s="32" t="s">
        <v>299</v>
      </c>
      <c r="AB56" s="32" t="s">
        <v>299</v>
      </c>
      <c r="AD56" s="32" t="s">
        <v>299</v>
      </c>
      <c r="AH56" s="32" t="s">
        <v>299</v>
      </c>
      <c r="AJ56" s="22">
        <f t="shared" si="0"/>
        <v>6</v>
      </c>
    </row>
    <row r="57" spans="1:36" ht="16" x14ac:dyDescent="0.2">
      <c r="A57" s="22" t="s">
        <v>404</v>
      </c>
      <c r="B57" s="31" t="s">
        <v>405</v>
      </c>
      <c r="H57" s="32" t="s">
        <v>299</v>
      </c>
      <c r="K57" s="32" t="s">
        <v>299</v>
      </c>
      <c r="L57" s="32" t="s">
        <v>299</v>
      </c>
      <c r="O57" s="32" t="s">
        <v>299</v>
      </c>
      <c r="P57" s="32" t="s">
        <v>299</v>
      </c>
      <c r="Q57" s="32" t="s">
        <v>299</v>
      </c>
      <c r="R57" s="32" t="s">
        <v>299</v>
      </c>
      <c r="S57" s="32" t="s">
        <v>299</v>
      </c>
      <c r="T57" s="32" t="s">
        <v>299</v>
      </c>
      <c r="U57" s="32" t="s">
        <v>299</v>
      </c>
      <c r="V57" s="32" t="s">
        <v>299</v>
      </c>
      <c r="W57" s="32" t="s">
        <v>299</v>
      </c>
      <c r="X57" s="32" t="s">
        <v>299</v>
      </c>
      <c r="Z57" s="32" t="s">
        <v>299</v>
      </c>
      <c r="AC57" s="32" t="s">
        <v>299</v>
      </c>
      <c r="AF57" s="32" t="s">
        <v>299</v>
      </c>
      <c r="AJ57" s="22">
        <f t="shared" si="0"/>
        <v>16</v>
      </c>
    </row>
    <row r="58" spans="1:36" ht="16" x14ac:dyDescent="0.2">
      <c r="A58" s="22" t="s">
        <v>406</v>
      </c>
      <c r="B58" s="31" t="s">
        <v>501</v>
      </c>
      <c r="AJ58" s="22">
        <f t="shared" si="0"/>
        <v>0</v>
      </c>
    </row>
    <row r="59" spans="1:36" ht="16" x14ac:dyDescent="0.2">
      <c r="A59" s="22" t="s">
        <v>407</v>
      </c>
      <c r="B59" s="31" t="s">
        <v>538</v>
      </c>
      <c r="AJ59" s="22">
        <f t="shared" si="0"/>
        <v>0</v>
      </c>
    </row>
    <row r="60" spans="1:36" ht="16" x14ac:dyDescent="0.2">
      <c r="A60" s="22" t="s">
        <v>409</v>
      </c>
      <c r="B60" s="31" t="s">
        <v>512</v>
      </c>
      <c r="H60" s="32" t="s">
        <v>299</v>
      </c>
      <c r="K60" s="32" t="s">
        <v>299</v>
      </c>
      <c r="R60" s="32" t="s">
        <v>299</v>
      </c>
      <c r="T60" s="32" t="s">
        <v>299</v>
      </c>
      <c r="Z60" s="32" t="s">
        <v>299</v>
      </c>
      <c r="AJ60" s="22">
        <f t="shared" si="0"/>
        <v>5</v>
      </c>
    </row>
    <row r="61" spans="1:36" ht="16" x14ac:dyDescent="0.2">
      <c r="A61" s="22" t="s">
        <v>411</v>
      </c>
      <c r="B61" s="31" t="s">
        <v>539</v>
      </c>
      <c r="K61" s="32" t="s">
        <v>299</v>
      </c>
      <c r="AC61" s="32" t="s">
        <v>299</v>
      </c>
      <c r="AJ61" s="22">
        <f t="shared" si="0"/>
        <v>2</v>
      </c>
    </row>
    <row r="62" spans="1:36" ht="16" x14ac:dyDescent="0.2">
      <c r="A62" s="22" t="s">
        <v>413</v>
      </c>
      <c r="B62" s="31" t="s">
        <v>540</v>
      </c>
      <c r="K62" s="32" t="s">
        <v>299</v>
      </c>
      <c r="L62" s="32" t="s">
        <v>299</v>
      </c>
      <c r="R62" s="32" t="s">
        <v>299</v>
      </c>
      <c r="T62" s="32" t="s">
        <v>299</v>
      </c>
      <c r="AC62" s="32" t="s">
        <v>299</v>
      </c>
      <c r="AD62" s="32" t="s">
        <v>299</v>
      </c>
      <c r="AJ62" s="22">
        <f t="shared" si="0"/>
        <v>6</v>
      </c>
    </row>
    <row r="63" spans="1:36" ht="16" x14ac:dyDescent="0.2">
      <c r="A63" s="22" t="s">
        <v>415</v>
      </c>
      <c r="B63" s="31" t="s">
        <v>514</v>
      </c>
      <c r="H63" s="32" t="s">
        <v>299</v>
      </c>
      <c r="K63" s="32" t="s">
        <v>299</v>
      </c>
      <c r="L63" s="32" t="s">
        <v>299</v>
      </c>
      <c r="R63" s="32" t="s">
        <v>299</v>
      </c>
      <c r="T63" s="32" t="s">
        <v>299</v>
      </c>
      <c r="AB63" s="32" t="s">
        <v>299</v>
      </c>
      <c r="AJ63" s="22">
        <f t="shared" si="0"/>
        <v>6</v>
      </c>
    </row>
    <row r="64" spans="1:36" ht="16" x14ac:dyDescent="0.2">
      <c r="A64" s="22" t="s">
        <v>416</v>
      </c>
      <c r="B64" s="31" t="s">
        <v>417</v>
      </c>
      <c r="AJ64" s="22">
        <f t="shared" si="0"/>
        <v>0</v>
      </c>
    </row>
    <row r="65" spans="1:36" ht="16" x14ac:dyDescent="0.2">
      <c r="A65" s="22" t="s">
        <v>418</v>
      </c>
      <c r="B65" s="31" t="s">
        <v>515</v>
      </c>
      <c r="R65" s="32" t="s">
        <v>299</v>
      </c>
      <c r="T65" s="32" t="s">
        <v>299</v>
      </c>
      <c r="AJ65" s="22">
        <f t="shared" si="0"/>
        <v>2</v>
      </c>
    </row>
    <row r="66" spans="1:36" ht="16" x14ac:dyDescent="0.2">
      <c r="A66" s="22" t="s">
        <v>420</v>
      </c>
      <c r="B66" s="31" t="s">
        <v>516</v>
      </c>
      <c r="K66" s="32" t="s">
        <v>299</v>
      </c>
      <c r="AC66" s="32" t="s">
        <v>299</v>
      </c>
      <c r="AF66" s="32" t="s">
        <v>299</v>
      </c>
      <c r="AJ66" s="22">
        <f t="shared" si="0"/>
        <v>3</v>
      </c>
    </row>
    <row r="67" spans="1:36" ht="16" x14ac:dyDescent="0.2">
      <c r="A67" s="22" t="s">
        <v>422</v>
      </c>
      <c r="B67" s="31" t="s">
        <v>423</v>
      </c>
      <c r="K67" s="32" t="s">
        <v>299</v>
      </c>
      <c r="L67" s="32" t="s">
        <v>299</v>
      </c>
      <c r="M67" s="32" t="s">
        <v>299</v>
      </c>
      <c r="Q67" s="32" t="s">
        <v>299</v>
      </c>
      <c r="R67" s="32" t="s">
        <v>299</v>
      </c>
      <c r="T67" s="32" t="s">
        <v>299</v>
      </c>
      <c r="Z67" s="32" t="s">
        <v>299</v>
      </c>
      <c r="AA67" s="32" t="s">
        <v>299</v>
      </c>
      <c r="AC67" s="32" t="s">
        <v>299</v>
      </c>
      <c r="AD67" s="32" t="s">
        <v>299</v>
      </c>
      <c r="AJ67" s="22">
        <f t="shared" si="0"/>
        <v>10</v>
      </c>
    </row>
    <row r="68" spans="1:36" ht="16" x14ac:dyDescent="0.2">
      <c r="A68" s="22" t="s">
        <v>424</v>
      </c>
      <c r="B68" s="31" t="s">
        <v>541</v>
      </c>
      <c r="K68" s="32" t="s">
        <v>299</v>
      </c>
      <c r="L68" s="32" t="s">
        <v>299</v>
      </c>
      <c r="R68" s="32" t="s">
        <v>299</v>
      </c>
      <c r="T68" s="32" t="s">
        <v>299</v>
      </c>
      <c r="AB68" s="32" t="s">
        <v>299</v>
      </c>
      <c r="AC68" s="32" t="s">
        <v>299</v>
      </c>
      <c r="AF68" s="32" t="s">
        <v>299</v>
      </c>
      <c r="AI68" s="32" t="s">
        <v>299</v>
      </c>
      <c r="AJ68" s="22">
        <f t="shared" ref="AJ68:AJ103" si="1">COUNTIF(C68:AI68,"FP")</f>
        <v>8</v>
      </c>
    </row>
    <row r="69" spans="1:36" ht="16" x14ac:dyDescent="0.2">
      <c r="A69" s="22" t="s">
        <v>426</v>
      </c>
      <c r="B69" s="31" t="s">
        <v>542</v>
      </c>
      <c r="H69" s="32" t="s">
        <v>299</v>
      </c>
      <c r="K69" s="32" t="s">
        <v>299</v>
      </c>
      <c r="L69" s="32" t="s">
        <v>299</v>
      </c>
      <c r="Q69" s="32" t="s">
        <v>299</v>
      </c>
      <c r="R69" s="32" t="s">
        <v>299</v>
      </c>
      <c r="T69" s="32" t="s">
        <v>299</v>
      </c>
      <c r="U69" s="32" t="s">
        <v>299</v>
      </c>
      <c r="X69" s="32" t="s">
        <v>299</v>
      </c>
      <c r="AB69" s="32" t="s">
        <v>299</v>
      </c>
      <c r="AF69" s="32" t="s">
        <v>299</v>
      </c>
      <c r="AJ69" s="22">
        <f t="shared" si="1"/>
        <v>10</v>
      </c>
    </row>
    <row r="70" spans="1:36" ht="16" x14ac:dyDescent="0.2">
      <c r="A70" s="22" t="s">
        <v>427</v>
      </c>
      <c r="B70" s="31" t="s">
        <v>428</v>
      </c>
      <c r="H70" s="32" t="s">
        <v>299</v>
      </c>
      <c r="K70" s="32" t="s">
        <v>299</v>
      </c>
      <c r="L70" s="32" t="s">
        <v>299</v>
      </c>
      <c r="O70" s="32" t="s">
        <v>299</v>
      </c>
      <c r="P70" s="32" t="s">
        <v>299</v>
      </c>
      <c r="Q70" s="32" t="s">
        <v>299</v>
      </c>
      <c r="R70" s="32" t="s">
        <v>299</v>
      </c>
      <c r="T70" s="32" t="s">
        <v>299</v>
      </c>
      <c r="U70" s="32" t="s">
        <v>299</v>
      </c>
      <c r="V70" s="32" t="s">
        <v>299</v>
      </c>
      <c r="Z70" s="32" t="s">
        <v>299</v>
      </c>
      <c r="AC70" s="32" t="s">
        <v>299</v>
      </c>
      <c r="AD70" s="32" t="s">
        <v>299</v>
      </c>
      <c r="AF70" s="32" t="s">
        <v>299</v>
      </c>
      <c r="AG70" s="32" t="s">
        <v>299</v>
      </c>
      <c r="AI70" s="32" t="s">
        <v>299</v>
      </c>
      <c r="AJ70" s="22">
        <f t="shared" si="1"/>
        <v>16</v>
      </c>
    </row>
    <row r="71" spans="1:36" ht="16" x14ac:dyDescent="0.2">
      <c r="A71" s="22" t="s">
        <v>429</v>
      </c>
      <c r="B71" s="31" t="s">
        <v>543</v>
      </c>
      <c r="AJ71" s="22">
        <f t="shared" si="1"/>
        <v>0</v>
      </c>
    </row>
    <row r="72" spans="1:36" ht="16" x14ac:dyDescent="0.2">
      <c r="A72" s="22" t="s">
        <v>431</v>
      </c>
      <c r="B72" s="31" t="s">
        <v>432</v>
      </c>
      <c r="H72" s="32" t="s">
        <v>299</v>
      </c>
      <c r="K72" s="32" t="s">
        <v>299</v>
      </c>
      <c r="L72" s="32" t="s">
        <v>299</v>
      </c>
      <c r="O72" s="32" t="s">
        <v>299</v>
      </c>
      <c r="P72" s="32" t="s">
        <v>299</v>
      </c>
      <c r="Q72" s="32" t="s">
        <v>299</v>
      </c>
      <c r="R72" s="32" t="s">
        <v>299</v>
      </c>
      <c r="T72" s="32" t="s">
        <v>299</v>
      </c>
      <c r="U72" s="32" t="s">
        <v>299</v>
      </c>
      <c r="V72" s="32" t="s">
        <v>299</v>
      </c>
      <c r="AB72" s="32" t="s">
        <v>299</v>
      </c>
      <c r="AC72" s="32" t="s">
        <v>299</v>
      </c>
      <c r="AD72" s="32" t="s">
        <v>299</v>
      </c>
      <c r="AF72" s="32" t="s">
        <v>299</v>
      </c>
      <c r="AI72" s="32" t="s">
        <v>299</v>
      </c>
      <c r="AJ72" s="22">
        <f t="shared" si="1"/>
        <v>15</v>
      </c>
    </row>
    <row r="73" spans="1:36" ht="16" x14ac:dyDescent="0.2">
      <c r="A73" s="22" t="s">
        <v>433</v>
      </c>
      <c r="B73" s="31" t="s">
        <v>544</v>
      </c>
      <c r="K73" s="32" t="s">
        <v>299</v>
      </c>
      <c r="L73" s="32" t="s">
        <v>299</v>
      </c>
      <c r="R73" s="32" t="s">
        <v>299</v>
      </c>
      <c r="T73" s="32" t="s">
        <v>299</v>
      </c>
      <c r="U73" s="32" t="s">
        <v>299</v>
      </c>
      <c r="Z73" s="32" t="s">
        <v>299</v>
      </c>
      <c r="AC73" s="32" t="s">
        <v>299</v>
      </c>
      <c r="AD73" s="32" t="s">
        <v>299</v>
      </c>
      <c r="AG73" s="32" t="s">
        <v>299</v>
      </c>
      <c r="AJ73" s="22">
        <f t="shared" si="1"/>
        <v>9</v>
      </c>
    </row>
    <row r="74" spans="1:36" ht="16" x14ac:dyDescent="0.2">
      <c r="A74" s="22" t="s">
        <v>435</v>
      </c>
      <c r="B74" s="31" t="s">
        <v>436</v>
      </c>
      <c r="K74" s="32" t="s">
        <v>299</v>
      </c>
      <c r="AC74" s="32" t="s">
        <v>299</v>
      </c>
      <c r="AJ74" s="22">
        <f t="shared" si="1"/>
        <v>2</v>
      </c>
    </row>
    <row r="75" spans="1:36" ht="16" x14ac:dyDescent="0.2">
      <c r="A75" s="22" t="s">
        <v>437</v>
      </c>
      <c r="B75" s="31" t="s">
        <v>438</v>
      </c>
      <c r="K75" s="32" t="s">
        <v>299</v>
      </c>
      <c r="L75" s="32" t="s">
        <v>299</v>
      </c>
      <c r="R75" s="32" t="s">
        <v>299</v>
      </c>
      <c r="T75" s="32" t="s">
        <v>299</v>
      </c>
      <c r="AC75" s="32" t="s">
        <v>299</v>
      </c>
      <c r="AJ75" s="22">
        <f t="shared" si="1"/>
        <v>5</v>
      </c>
    </row>
    <row r="76" spans="1:36" ht="16" x14ac:dyDescent="0.2">
      <c r="A76" s="22" t="s">
        <v>439</v>
      </c>
      <c r="B76" s="31" t="s">
        <v>440</v>
      </c>
      <c r="K76" s="32" t="s">
        <v>299</v>
      </c>
      <c r="L76" s="32" t="s">
        <v>299</v>
      </c>
      <c r="O76" s="32" t="s">
        <v>299</v>
      </c>
      <c r="P76" s="32" t="s">
        <v>299</v>
      </c>
      <c r="Q76" s="32" t="s">
        <v>299</v>
      </c>
      <c r="R76" s="32" t="s">
        <v>299</v>
      </c>
      <c r="T76" s="32" t="s">
        <v>299</v>
      </c>
      <c r="AC76" s="32" t="s">
        <v>299</v>
      </c>
      <c r="AF76" s="32" t="s">
        <v>299</v>
      </c>
      <c r="AJ76" s="22">
        <f t="shared" si="1"/>
        <v>9</v>
      </c>
    </row>
    <row r="77" spans="1:36" ht="16" x14ac:dyDescent="0.2">
      <c r="A77" s="22" t="s">
        <v>441</v>
      </c>
      <c r="B77" s="31" t="s">
        <v>376</v>
      </c>
      <c r="AJ77" s="22">
        <f t="shared" si="1"/>
        <v>0</v>
      </c>
    </row>
    <row r="78" spans="1:36" ht="16" x14ac:dyDescent="0.2">
      <c r="A78" s="22" t="s">
        <v>442</v>
      </c>
      <c r="B78" s="31" t="s">
        <v>434</v>
      </c>
      <c r="AJ78" s="22">
        <f t="shared" si="1"/>
        <v>0</v>
      </c>
    </row>
    <row r="79" spans="1:36" ht="16" x14ac:dyDescent="0.2">
      <c r="A79" s="22" t="s">
        <v>444</v>
      </c>
      <c r="B79" s="31" t="s">
        <v>445</v>
      </c>
      <c r="L79" s="32" t="s">
        <v>299</v>
      </c>
      <c r="Q79" s="32" t="s">
        <v>299</v>
      </c>
      <c r="R79" s="32" t="s">
        <v>299</v>
      </c>
      <c r="T79" s="32" t="s">
        <v>299</v>
      </c>
      <c r="AD79" s="32" t="s">
        <v>299</v>
      </c>
      <c r="AF79" s="32" t="s">
        <v>299</v>
      </c>
      <c r="AJ79" s="22">
        <f t="shared" si="1"/>
        <v>6</v>
      </c>
    </row>
    <row r="80" spans="1:36" ht="16" x14ac:dyDescent="0.2">
      <c r="A80" s="22" t="s">
        <v>446</v>
      </c>
      <c r="B80" s="31" t="s">
        <v>447</v>
      </c>
      <c r="AJ80" s="22">
        <f t="shared" si="1"/>
        <v>0</v>
      </c>
    </row>
    <row r="81" spans="1:36" ht="16" x14ac:dyDescent="0.2">
      <c r="A81" s="22" t="s">
        <v>448</v>
      </c>
      <c r="B81" s="31" t="s">
        <v>449</v>
      </c>
      <c r="AJ81" s="22">
        <f t="shared" si="1"/>
        <v>0</v>
      </c>
    </row>
    <row r="82" spans="1:36" ht="16" x14ac:dyDescent="0.2">
      <c r="A82" s="22" t="s">
        <v>450</v>
      </c>
      <c r="B82" s="31" t="s">
        <v>451</v>
      </c>
      <c r="AJ82" s="22">
        <f t="shared" si="1"/>
        <v>0</v>
      </c>
    </row>
    <row r="83" spans="1:36" ht="16" x14ac:dyDescent="0.2">
      <c r="A83" s="22" t="s">
        <v>452</v>
      </c>
      <c r="B83" s="31" t="s">
        <v>518</v>
      </c>
      <c r="K83" s="32" t="s">
        <v>299</v>
      </c>
      <c r="L83" s="32" t="s">
        <v>299</v>
      </c>
      <c r="R83" s="32" t="s">
        <v>299</v>
      </c>
      <c r="T83" s="32" t="s">
        <v>299</v>
      </c>
      <c r="Z83" s="32" t="s">
        <v>299</v>
      </c>
      <c r="AD83" s="32" t="s">
        <v>299</v>
      </c>
      <c r="AJ83" s="22">
        <f t="shared" si="1"/>
        <v>6</v>
      </c>
    </row>
    <row r="84" spans="1:36" ht="16" x14ac:dyDescent="0.2">
      <c r="A84" s="22" t="s">
        <v>454</v>
      </c>
      <c r="B84" s="31" t="s">
        <v>455</v>
      </c>
      <c r="L84" s="32" t="s">
        <v>299</v>
      </c>
      <c r="Q84" s="32" t="s">
        <v>299</v>
      </c>
      <c r="R84" s="32" t="s">
        <v>299</v>
      </c>
      <c r="T84" s="32" t="s">
        <v>299</v>
      </c>
      <c r="AD84" s="32" t="s">
        <v>299</v>
      </c>
      <c r="AF84" s="32" t="s">
        <v>299</v>
      </c>
      <c r="AG84" s="32" t="s">
        <v>299</v>
      </c>
      <c r="AJ84" s="22">
        <f t="shared" si="1"/>
        <v>7</v>
      </c>
    </row>
    <row r="85" spans="1:36" ht="16" x14ac:dyDescent="0.2">
      <c r="A85" s="22" t="s">
        <v>456</v>
      </c>
      <c r="B85" s="31" t="s">
        <v>457</v>
      </c>
      <c r="K85" s="32" t="s">
        <v>299</v>
      </c>
      <c r="L85" s="32" t="s">
        <v>299</v>
      </c>
      <c r="R85" s="32" t="s">
        <v>299</v>
      </c>
      <c r="T85" s="32" t="s">
        <v>299</v>
      </c>
      <c r="Z85" s="32" t="s">
        <v>299</v>
      </c>
      <c r="AD85" s="32" t="s">
        <v>299</v>
      </c>
      <c r="AJ85" s="22">
        <f t="shared" si="1"/>
        <v>6</v>
      </c>
    </row>
    <row r="86" spans="1:36" ht="16" x14ac:dyDescent="0.2">
      <c r="A86" s="22" t="s">
        <v>458</v>
      </c>
      <c r="B86" s="31" t="s">
        <v>459</v>
      </c>
      <c r="K86" s="32" t="s">
        <v>299</v>
      </c>
      <c r="AB86" s="32" t="s">
        <v>299</v>
      </c>
      <c r="AJ86" s="22">
        <f t="shared" si="1"/>
        <v>2</v>
      </c>
    </row>
    <row r="87" spans="1:36" ht="16" x14ac:dyDescent="0.2">
      <c r="A87" s="22" t="s">
        <v>460</v>
      </c>
      <c r="B87" s="31" t="s">
        <v>461</v>
      </c>
      <c r="K87" s="32" t="s">
        <v>299</v>
      </c>
      <c r="L87" s="32" t="s">
        <v>299</v>
      </c>
      <c r="R87" s="32" t="s">
        <v>299</v>
      </c>
      <c r="T87" s="32" t="s">
        <v>299</v>
      </c>
      <c r="AD87" s="32" t="s">
        <v>299</v>
      </c>
      <c r="AJ87" s="22">
        <f t="shared" si="1"/>
        <v>5</v>
      </c>
    </row>
    <row r="88" spans="1:36" ht="16" x14ac:dyDescent="0.2">
      <c r="A88" s="22" t="s">
        <v>462</v>
      </c>
      <c r="B88" s="31" t="s">
        <v>463</v>
      </c>
      <c r="H88" s="32" t="s">
        <v>299</v>
      </c>
      <c r="I88" s="32" t="s">
        <v>299</v>
      </c>
      <c r="J88" s="32" t="s">
        <v>299</v>
      </c>
      <c r="K88" s="32" t="s">
        <v>299</v>
      </c>
      <c r="L88" s="32" t="s">
        <v>299</v>
      </c>
      <c r="R88" s="32" t="s">
        <v>299</v>
      </c>
      <c r="T88" s="32" t="s">
        <v>299</v>
      </c>
      <c r="X88" s="32" t="s">
        <v>299</v>
      </c>
      <c r="Y88" s="32" t="s">
        <v>299</v>
      </c>
      <c r="Z88" s="32" t="s">
        <v>299</v>
      </c>
      <c r="AB88" s="32" t="s">
        <v>299</v>
      </c>
      <c r="AC88" s="32" t="s">
        <v>299</v>
      </c>
      <c r="AD88" s="32" t="s">
        <v>299</v>
      </c>
      <c r="AF88" s="32" t="s">
        <v>299</v>
      </c>
      <c r="AG88" s="32" t="s">
        <v>299</v>
      </c>
      <c r="AJ88" s="22">
        <f t="shared" si="1"/>
        <v>15</v>
      </c>
    </row>
    <row r="89" spans="1:36" ht="16" x14ac:dyDescent="0.2">
      <c r="A89" s="22" t="s">
        <v>464</v>
      </c>
      <c r="B89" s="31" t="s">
        <v>465</v>
      </c>
      <c r="H89" s="32" t="s">
        <v>299</v>
      </c>
      <c r="K89" s="32" t="s">
        <v>299</v>
      </c>
      <c r="L89" s="32" t="s">
        <v>299</v>
      </c>
      <c r="O89" s="32" t="s">
        <v>299</v>
      </c>
      <c r="P89" s="32" t="s">
        <v>299</v>
      </c>
      <c r="Q89" s="32" t="s">
        <v>299</v>
      </c>
      <c r="R89" s="32" t="s">
        <v>299</v>
      </c>
      <c r="T89" s="32" t="s">
        <v>299</v>
      </c>
      <c r="U89" s="32" t="s">
        <v>299</v>
      </c>
      <c r="V89" s="32" t="s">
        <v>299</v>
      </c>
      <c r="AB89" s="32" t="s">
        <v>299</v>
      </c>
      <c r="AD89" s="32" t="s">
        <v>299</v>
      </c>
      <c r="AF89" s="32" t="s">
        <v>299</v>
      </c>
      <c r="AG89" s="32" t="s">
        <v>299</v>
      </c>
      <c r="AH89" s="32" t="s">
        <v>299</v>
      </c>
      <c r="AI89" s="32" t="s">
        <v>299</v>
      </c>
      <c r="AJ89" s="22">
        <f t="shared" si="1"/>
        <v>16</v>
      </c>
    </row>
    <row r="90" spans="1:36" ht="16" x14ac:dyDescent="0.2">
      <c r="A90" s="22" t="s">
        <v>466</v>
      </c>
      <c r="B90" s="31" t="s">
        <v>519</v>
      </c>
      <c r="L90" s="32" t="s">
        <v>299</v>
      </c>
      <c r="Q90" s="32" t="s">
        <v>299</v>
      </c>
      <c r="R90" s="32" t="s">
        <v>299</v>
      </c>
      <c r="T90" s="32" t="s">
        <v>299</v>
      </c>
      <c r="AD90" s="32" t="s">
        <v>299</v>
      </c>
      <c r="AF90" s="32" t="s">
        <v>299</v>
      </c>
      <c r="AJ90" s="22">
        <f t="shared" si="1"/>
        <v>6</v>
      </c>
    </row>
    <row r="91" spans="1:36" ht="16" x14ac:dyDescent="0.2">
      <c r="A91" s="22" t="s">
        <v>468</v>
      </c>
      <c r="B91" s="31" t="s">
        <v>315</v>
      </c>
      <c r="AJ91" s="22">
        <f t="shared" si="1"/>
        <v>0</v>
      </c>
    </row>
    <row r="92" spans="1:36" ht="16" x14ac:dyDescent="0.2">
      <c r="A92" s="22" t="s">
        <v>469</v>
      </c>
      <c r="B92" s="31" t="s">
        <v>470</v>
      </c>
      <c r="H92" s="32" t="s">
        <v>299</v>
      </c>
      <c r="K92" s="32" t="s">
        <v>299</v>
      </c>
      <c r="L92" s="32" t="s">
        <v>299</v>
      </c>
      <c r="O92" s="32" t="s">
        <v>299</v>
      </c>
      <c r="P92" s="32" t="s">
        <v>299</v>
      </c>
      <c r="Q92" s="32" t="s">
        <v>299</v>
      </c>
      <c r="R92" s="32" t="s">
        <v>299</v>
      </c>
      <c r="T92" s="32" t="s">
        <v>299</v>
      </c>
      <c r="U92" s="32" t="s">
        <v>299</v>
      </c>
      <c r="V92" s="32" t="s">
        <v>299</v>
      </c>
      <c r="Z92" s="32" t="s">
        <v>299</v>
      </c>
      <c r="AC92" s="32" t="s">
        <v>299</v>
      </c>
      <c r="AD92" s="32" t="s">
        <v>299</v>
      </c>
      <c r="AE92" s="32" t="s">
        <v>299</v>
      </c>
      <c r="AF92" s="32" t="s">
        <v>299</v>
      </c>
      <c r="AG92" s="32" t="s">
        <v>299</v>
      </c>
      <c r="AI92" s="32" t="s">
        <v>299</v>
      </c>
      <c r="AJ92" s="22">
        <f t="shared" si="1"/>
        <v>17</v>
      </c>
    </row>
    <row r="93" spans="1:36" ht="16" x14ac:dyDescent="0.2">
      <c r="A93" s="22" t="s">
        <v>471</v>
      </c>
      <c r="B93" s="31" t="s">
        <v>472</v>
      </c>
      <c r="C93" s="32" t="s">
        <v>299</v>
      </c>
      <c r="D93" s="32" t="s">
        <v>299</v>
      </c>
      <c r="E93" s="32" t="s">
        <v>299</v>
      </c>
      <c r="F93" s="32" t="s">
        <v>299</v>
      </c>
      <c r="G93" s="32" t="s">
        <v>299</v>
      </c>
      <c r="H93" s="32" t="s">
        <v>299</v>
      </c>
      <c r="I93" s="32" t="s">
        <v>299</v>
      </c>
      <c r="J93" s="32" t="s">
        <v>299</v>
      </c>
      <c r="K93" s="32" t="s">
        <v>299</v>
      </c>
      <c r="L93" s="32" t="s">
        <v>299</v>
      </c>
      <c r="O93" s="32" t="s">
        <v>299</v>
      </c>
      <c r="P93" s="32" t="s">
        <v>299</v>
      </c>
      <c r="Q93" s="32" t="s">
        <v>299</v>
      </c>
      <c r="R93" s="32" t="s">
        <v>299</v>
      </c>
      <c r="S93" s="32" t="s">
        <v>299</v>
      </c>
      <c r="T93" s="32" t="s">
        <v>299</v>
      </c>
      <c r="U93" s="32" t="s">
        <v>299</v>
      </c>
      <c r="W93" s="32" t="s">
        <v>299</v>
      </c>
      <c r="X93" s="32" t="s">
        <v>299</v>
      </c>
      <c r="AB93" s="32" t="s">
        <v>299</v>
      </c>
      <c r="AC93" s="32" t="s">
        <v>299</v>
      </c>
      <c r="AD93" s="32" t="s">
        <v>299</v>
      </c>
      <c r="AF93" s="32" t="s">
        <v>299</v>
      </c>
      <c r="AG93" s="32" t="s">
        <v>299</v>
      </c>
      <c r="AI93" s="32" t="s">
        <v>299</v>
      </c>
      <c r="AJ93" s="22">
        <f t="shared" si="1"/>
        <v>25</v>
      </c>
    </row>
    <row r="94" spans="1:36" ht="16" x14ac:dyDescent="0.2">
      <c r="A94" s="22" t="s">
        <v>473</v>
      </c>
      <c r="B94" s="31" t="s">
        <v>474</v>
      </c>
      <c r="H94" s="32" t="s">
        <v>299</v>
      </c>
      <c r="K94" s="32" t="s">
        <v>299</v>
      </c>
      <c r="L94" s="32" t="s">
        <v>299</v>
      </c>
      <c r="O94" s="32" t="s">
        <v>299</v>
      </c>
      <c r="P94" s="32" t="s">
        <v>299</v>
      </c>
      <c r="Q94" s="32" t="s">
        <v>299</v>
      </c>
      <c r="R94" s="32" t="s">
        <v>299</v>
      </c>
      <c r="T94" s="32" t="s">
        <v>299</v>
      </c>
      <c r="U94" s="32" t="s">
        <v>299</v>
      </c>
      <c r="V94" s="32" t="s">
        <v>299</v>
      </c>
      <c r="Z94" s="32" t="s">
        <v>299</v>
      </c>
      <c r="AC94" s="32" t="s">
        <v>299</v>
      </c>
      <c r="AD94" s="32" t="s">
        <v>299</v>
      </c>
      <c r="AF94" s="32" t="s">
        <v>299</v>
      </c>
      <c r="AG94" s="32" t="s">
        <v>299</v>
      </c>
      <c r="AI94" s="32" t="s">
        <v>299</v>
      </c>
      <c r="AJ94" s="22">
        <f t="shared" si="1"/>
        <v>16</v>
      </c>
    </row>
    <row r="95" spans="1:36" ht="16" x14ac:dyDescent="0.2">
      <c r="A95" s="22" t="s">
        <v>475</v>
      </c>
      <c r="B95" s="31" t="s">
        <v>520</v>
      </c>
      <c r="K95" s="32" t="s">
        <v>299</v>
      </c>
      <c r="L95" s="32" t="s">
        <v>299</v>
      </c>
      <c r="Q95" s="32" t="s">
        <v>299</v>
      </c>
      <c r="R95" s="32" t="s">
        <v>299</v>
      </c>
      <c r="T95" s="32" t="s">
        <v>299</v>
      </c>
      <c r="Z95" s="32" t="s">
        <v>299</v>
      </c>
      <c r="AA95" s="32" t="s">
        <v>299</v>
      </c>
      <c r="AB95" s="32" t="s">
        <v>299</v>
      </c>
      <c r="AC95" s="32" t="s">
        <v>299</v>
      </c>
      <c r="AD95" s="32" t="s">
        <v>299</v>
      </c>
      <c r="AF95" s="32" t="s">
        <v>299</v>
      </c>
      <c r="AJ95" s="22">
        <f t="shared" si="1"/>
        <v>11</v>
      </c>
    </row>
    <row r="96" spans="1:36" ht="16" x14ac:dyDescent="0.2">
      <c r="A96" s="22" t="s">
        <v>477</v>
      </c>
      <c r="B96" s="31" t="s">
        <v>478</v>
      </c>
      <c r="AJ96" s="22">
        <f t="shared" si="1"/>
        <v>0</v>
      </c>
    </row>
    <row r="97" spans="1:36" ht="16" x14ac:dyDescent="0.2">
      <c r="A97" s="22" t="s">
        <v>479</v>
      </c>
      <c r="B97" s="31" t="s">
        <v>521</v>
      </c>
      <c r="AJ97" s="22">
        <f t="shared" si="1"/>
        <v>0</v>
      </c>
    </row>
    <row r="98" spans="1:36" ht="16" x14ac:dyDescent="0.2">
      <c r="A98" s="22" t="s">
        <v>481</v>
      </c>
      <c r="B98" s="31" t="s">
        <v>545</v>
      </c>
      <c r="L98" s="32" t="s">
        <v>299</v>
      </c>
      <c r="R98" s="32" t="s">
        <v>299</v>
      </c>
      <c r="T98" s="32" t="s">
        <v>299</v>
      </c>
      <c r="AD98" s="32" t="s">
        <v>299</v>
      </c>
      <c r="AJ98" s="22">
        <f t="shared" si="1"/>
        <v>4</v>
      </c>
    </row>
    <row r="99" spans="1:36" ht="16" x14ac:dyDescent="0.2">
      <c r="A99" s="22" t="s">
        <v>483</v>
      </c>
      <c r="B99" s="31" t="s">
        <v>484</v>
      </c>
      <c r="H99" s="32" t="s">
        <v>299</v>
      </c>
      <c r="K99" s="32" t="s">
        <v>299</v>
      </c>
      <c r="L99" s="32" t="s">
        <v>299</v>
      </c>
      <c r="R99" s="32" t="s">
        <v>299</v>
      </c>
      <c r="T99" s="32" t="s">
        <v>299</v>
      </c>
      <c r="Z99" s="32" t="s">
        <v>299</v>
      </c>
      <c r="AB99" s="32" t="s">
        <v>299</v>
      </c>
      <c r="AC99" s="32" t="s">
        <v>299</v>
      </c>
      <c r="AD99" s="32" t="s">
        <v>299</v>
      </c>
      <c r="AF99" s="32" t="s">
        <v>299</v>
      </c>
      <c r="AG99" s="32" t="s">
        <v>299</v>
      </c>
      <c r="AJ99" s="22">
        <f t="shared" si="1"/>
        <v>11</v>
      </c>
    </row>
    <row r="100" spans="1:36" ht="16" x14ac:dyDescent="0.2">
      <c r="A100" s="22" t="s">
        <v>485</v>
      </c>
      <c r="B100" s="31" t="s">
        <v>96</v>
      </c>
      <c r="K100" s="32" t="s">
        <v>299</v>
      </c>
      <c r="L100" s="32" t="s">
        <v>299</v>
      </c>
      <c r="O100" s="32" t="s">
        <v>299</v>
      </c>
      <c r="P100" s="32" t="s">
        <v>299</v>
      </c>
      <c r="Q100" s="32" t="s">
        <v>299</v>
      </c>
      <c r="R100" s="32" t="s">
        <v>299</v>
      </c>
      <c r="T100" s="32" t="s">
        <v>299</v>
      </c>
      <c r="AA100" s="32" t="s">
        <v>299</v>
      </c>
      <c r="AC100" s="32" t="s">
        <v>299</v>
      </c>
      <c r="AD100" s="32" t="s">
        <v>299</v>
      </c>
      <c r="AF100" s="32" t="s">
        <v>299</v>
      </c>
      <c r="AJ100" s="22">
        <f t="shared" si="1"/>
        <v>11</v>
      </c>
    </row>
    <row r="101" spans="1:36" ht="16" x14ac:dyDescent="0.2">
      <c r="A101" s="22" t="s">
        <v>486</v>
      </c>
      <c r="B101" s="31" t="s">
        <v>487</v>
      </c>
      <c r="H101" s="32" t="s">
        <v>299</v>
      </c>
      <c r="K101" s="32" t="s">
        <v>299</v>
      </c>
      <c r="L101" s="32" t="s">
        <v>299</v>
      </c>
      <c r="Q101" s="32" t="s">
        <v>299</v>
      </c>
      <c r="R101" s="32" t="s">
        <v>299</v>
      </c>
      <c r="T101" s="32" t="s">
        <v>299</v>
      </c>
      <c r="AA101" s="32" t="s">
        <v>299</v>
      </c>
      <c r="AB101" s="32" t="s">
        <v>299</v>
      </c>
      <c r="AD101" s="32" t="s">
        <v>299</v>
      </c>
      <c r="AF101" s="32" t="s">
        <v>299</v>
      </c>
      <c r="AG101" s="32" t="s">
        <v>299</v>
      </c>
      <c r="AH101" s="32" t="s">
        <v>299</v>
      </c>
      <c r="AJ101" s="22">
        <f t="shared" si="1"/>
        <v>12</v>
      </c>
    </row>
    <row r="102" spans="1:36" ht="16" x14ac:dyDescent="0.2">
      <c r="A102" s="22" t="s">
        <v>488</v>
      </c>
      <c r="B102" s="31" t="s">
        <v>489</v>
      </c>
      <c r="K102" s="32" t="s">
        <v>299</v>
      </c>
      <c r="L102" s="32" t="s">
        <v>299</v>
      </c>
      <c r="O102" s="32" t="s">
        <v>299</v>
      </c>
      <c r="P102" s="32" t="s">
        <v>299</v>
      </c>
      <c r="Q102" s="32" t="s">
        <v>299</v>
      </c>
      <c r="R102" s="32" t="s">
        <v>299</v>
      </c>
      <c r="T102" s="32" t="s">
        <v>299</v>
      </c>
      <c r="AB102" s="32" t="s">
        <v>299</v>
      </c>
      <c r="AD102" s="32" t="s">
        <v>299</v>
      </c>
      <c r="AG102" s="32" t="s">
        <v>299</v>
      </c>
      <c r="AH102" s="32" t="s">
        <v>299</v>
      </c>
      <c r="AJ102" s="22">
        <f t="shared" si="1"/>
        <v>11</v>
      </c>
    </row>
    <row r="103" spans="1:36" ht="16" x14ac:dyDescent="0.2">
      <c r="B103" s="31" t="s">
        <v>523</v>
      </c>
      <c r="C103" s="22">
        <f t="shared" ref="C103:AI103" si="2">COUNTIF(C3:C102, "FP")</f>
        <v>5</v>
      </c>
      <c r="D103" s="22">
        <f t="shared" si="2"/>
        <v>5</v>
      </c>
      <c r="E103" s="22">
        <f t="shared" si="2"/>
        <v>6</v>
      </c>
      <c r="F103" s="22">
        <f t="shared" si="2"/>
        <v>5</v>
      </c>
      <c r="G103" s="22">
        <f t="shared" si="2"/>
        <v>5</v>
      </c>
      <c r="H103" s="22">
        <f t="shared" si="2"/>
        <v>35</v>
      </c>
      <c r="I103" s="22">
        <f t="shared" si="2"/>
        <v>6</v>
      </c>
      <c r="J103" s="22">
        <f t="shared" si="2"/>
        <v>7</v>
      </c>
      <c r="K103" s="22">
        <f t="shared" si="2"/>
        <v>65</v>
      </c>
      <c r="L103" s="22">
        <f t="shared" si="2"/>
        <v>62</v>
      </c>
      <c r="M103" s="22">
        <f t="shared" si="2"/>
        <v>4</v>
      </c>
      <c r="N103" s="22">
        <f t="shared" si="2"/>
        <v>2</v>
      </c>
      <c r="O103" s="22">
        <f t="shared" si="2"/>
        <v>28</v>
      </c>
      <c r="P103" s="22">
        <f t="shared" si="2"/>
        <v>28</v>
      </c>
      <c r="Q103" s="22">
        <f t="shared" si="2"/>
        <v>47</v>
      </c>
      <c r="R103" s="22">
        <f t="shared" si="2"/>
        <v>68</v>
      </c>
      <c r="S103" s="22">
        <f t="shared" si="2"/>
        <v>11</v>
      </c>
      <c r="T103" s="22">
        <f t="shared" si="2"/>
        <v>68</v>
      </c>
      <c r="U103" s="22">
        <f t="shared" si="2"/>
        <v>18</v>
      </c>
      <c r="V103" s="22">
        <f t="shared" si="2"/>
        <v>13</v>
      </c>
      <c r="W103" s="22">
        <f t="shared" si="2"/>
        <v>7</v>
      </c>
      <c r="X103" s="22">
        <f t="shared" si="2"/>
        <v>12</v>
      </c>
      <c r="Y103" s="22">
        <f t="shared" si="2"/>
        <v>1</v>
      </c>
      <c r="Z103" s="22">
        <f t="shared" si="2"/>
        <v>28</v>
      </c>
      <c r="AA103" s="22">
        <f t="shared" si="2"/>
        <v>6</v>
      </c>
      <c r="AB103" s="22">
        <f t="shared" si="2"/>
        <v>41</v>
      </c>
      <c r="AC103" s="22">
        <f t="shared" si="2"/>
        <v>41</v>
      </c>
      <c r="AD103" s="22">
        <f t="shared" si="2"/>
        <v>49</v>
      </c>
      <c r="AE103" s="22">
        <f t="shared" si="2"/>
        <v>1</v>
      </c>
      <c r="AF103" s="22">
        <f t="shared" si="2"/>
        <v>47</v>
      </c>
      <c r="AG103" s="22">
        <f t="shared" si="2"/>
        <v>23</v>
      </c>
      <c r="AH103" s="22">
        <f t="shared" si="2"/>
        <v>14</v>
      </c>
      <c r="AI103" s="22">
        <f t="shared" si="2"/>
        <v>13</v>
      </c>
      <c r="AJ103" s="22">
        <f>SUM(AJ3:AJ102)/100</f>
        <v>7.71</v>
      </c>
    </row>
    <row r="104" spans="1:36" x14ac:dyDescent="0.2">
      <c r="AJ104" s="22">
        <f>771/33</f>
        <v>23.363636363636363</v>
      </c>
    </row>
  </sheetData>
  <mergeCells count="7">
    <mergeCell ref="AH1:AI1"/>
    <mergeCell ref="A1:A2"/>
    <mergeCell ref="B1:B2"/>
    <mergeCell ref="C1:K1"/>
    <mergeCell ref="M1:T1"/>
    <mergeCell ref="U1:V1"/>
    <mergeCell ref="AA1:AG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F566-C2F8-864F-8605-5B450D3EBD11}">
  <dimension ref="A1:N102"/>
  <sheetViews>
    <sheetView topLeftCell="I1" workbookViewId="0">
      <pane ySplit="1" topLeftCell="A72" activePane="bottomLeft" state="frozen"/>
      <selection pane="bottomLeft" activeCell="D102" sqref="D102:M102"/>
    </sheetView>
  </sheetViews>
  <sheetFormatPr baseColWidth="10" defaultColWidth="8.83203125" defaultRowHeight="15" x14ac:dyDescent="0.2"/>
  <cols>
    <col min="1" max="1" width="8" style="22" customWidth="1"/>
    <col min="2" max="2" width="28" style="22" customWidth="1"/>
    <col min="3" max="13" width="22" style="22" customWidth="1"/>
    <col min="14" max="16384" width="8.83203125" style="22"/>
  </cols>
  <sheetData>
    <row r="1" spans="1:14" ht="32" x14ac:dyDescent="0.2">
      <c r="A1" s="30" t="s">
        <v>490</v>
      </c>
      <c r="B1" s="30" t="s">
        <v>491</v>
      </c>
      <c r="C1" s="30" t="s">
        <v>296</v>
      </c>
      <c r="D1" s="30" t="s">
        <v>492</v>
      </c>
      <c r="E1" s="30" t="s">
        <v>493</v>
      </c>
      <c r="F1" s="30" t="s">
        <v>494</v>
      </c>
      <c r="G1" s="30" t="s">
        <v>495</v>
      </c>
      <c r="H1" s="30" t="s">
        <v>496</v>
      </c>
      <c r="I1" s="30" t="s">
        <v>497</v>
      </c>
      <c r="J1" s="30" t="s">
        <v>498</v>
      </c>
      <c r="K1" s="30" t="s">
        <v>500</v>
      </c>
      <c r="L1" s="30" t="s">
        <v>134</v>
      </c>
      <c r="M1" s="30" t="s">
        <v>135</v>
      </c>
      <c r="N1" s="30" t="s">
        <v>523</v>
      </c>
    </row>
    <row r="2" spans="1:14" ht="16" x14ac:dyDescent="0.2">
      <c r="A2" s="22" t="s">
        <v>297</v>
      </c>
      <c r="B2" s="31" t="s">
        <v>501</v>
      </c>
      <c r="C2" s="32" t="s">
        <v>299</v>
      </c>
      <c r="D2" s="32" t="s">
        <v>299</v>
      </c>
      <c r="E2" s="32" t="s">
        <v>299</v>
      </c>
      <c r="F2" s="32" t="s">
        <v>299</v>
      </c>
      <c r="L2" s="32" t="s">
        <v>299</v>
      </c>
      <c r="M2" s="32" t="s">
        <v>299</v>
      </c>
      <c r="N2" s="22">
        <f t="shared" ref="N2:N65" si="0">COUNTIF(C3:M3,"FP")</f>
        <v>5</v>
      </c>
    </row>
    <row r="3" spans="1:14" ht="16" x14ac:dyDescent="0.2">
      <c r="A3" s="22" t="s">
        <v>300</v>
      </c>
      <c r="B3" s="31" t="s">
        <v>1</v>
      </c>
      <c r="C3" s="32" t="s">
        <v>299</v>
      </c>
      <c r="D3" s="32" t="s">
        <v>299</v>
      </c>
      <c r="E3" s="32" t="s">
        <v>299</v>
      </c>
      <c r="F3" s="32" t="s">
        <v>299</v>
      </c>
      <c r="L3" s="32" t="s">
        <v>299</v>
      </c>
      <c r="N3" s="22">
        <f t="shared" si="0"/>
        <v>6</v>
      </c>
    </row>
    <row r="4" spans="1:14" ht="16" x14ac:dyDescent="0.2">
      <c r="A4" s="22" t="s">
        <v>302</v>
      </c>
      <c r="B4" s="31" t="s">
        <v>303</v>
      </c>
      <c r="C4" s="32" t="s">
        <v>299</v>
      </c>
      <c r="D4" s="32" t="s">
        <v>299</v>
      </c>
      <c r="E4" s="32" t="s">
        <v>299</v>
      </c>
      <c r="F4" s="32" t="s">
        <v>299</v>
      </c>
      <c r="I4" s="32" t="s">
        <v>299</v>
      </c>
      <c r="L4" s="32" t="s">
        <v>299</v>
      </c>
      <c r="N4" s="22">
        <f t="shared" si="0"/>
        <v>5</v>
      </c>
    </row>
    <row r="5" spans="1:14" ht="16" x14ac:dyDescent="0.2">
      <c r="A5" s="22" t="s">
        <v>304</v>
      </c>
      <c r="B5" s="31" t="s">
        <v>305</v>
      </c>
      <c r="C5" s="32" t="s">
        <v>299</v>
      </c>
      <c r="D5" s="32" t="s">
        <v>299</v>
      </c>
      <c r="F5" s="32" t="s">
        <v>299</v>
      </c>
      <c r="L5" s="32" t="s">
        <v>299</v>
      </c>
      <c r="M5" s="32" t="s">
        <v>299</v>
      </c>
      <c r="N5" s="22">
        <f t="shared" si="0"/>
        <v>0</v>
      </c>
    </row>
    <row r="6" spans="1:14" ht="16" x14ac:dyDescent="0.2">
      <c r="A6" s="22" t="s">
        <v>306</v>
      </c>
      <c r="B6" s="31" t="s">
        <v>307</v>
      </c>
      <c r="N6" s="22">
        <f t="shared" si="0"/>
        <v>8</v>
      </c>
    </row>
    <row r="7" spans="1:14" ht="16" x14ac:dyDescent="0.2">
      <c r="A7" s="22" t="s">
        <v>308</v>
      </c>
      <c r="B7" s="31" t="s">
        <v>309</v>
      </c>
      <c r="C7" s="32" t="s">
        <v>299</v>
      </c>
      <c r="D7" s="32" t="s">
        <v>299</v>
      </c>
      <c r="E7" s="32" t="s">
        <v>299</v>
      </c>
      <c r="F7" s="32" t="s">
        <v>299</v>
      </c>
      <c r="G7" s="32" t="s">
        <v>299</v>
      </c>
      <c r="K7" s="32" t="s">
        <v>299</v>
      </c>
      <c r="L7" s="32" t="s">
        <v>299</v>
      </c>
      <c r="M7" s="32" t="s">
        <v>299</v>
      </c>
      <c r="N7" s="22">
        <f t="shared" si="0"/>
        <v>5</v>
      </c>
    </row>
    <row r="8" spans="1:14" ht="16" x14ac:dyDescent="0.2">
      <c r="A8" s="22" t="s">
        <v>310</v>
      </c>
      <c r="B8" s="31" t="s">
        <v>311</v>
      </c>
      <c r="C8" s="32" t="s">
        <v>299</v>
      </c>
      <c r="D8" s="32" t="s">
        <v>299</v>
      </c>
      <c r="F8" s="32" t="s">
        <v>299</v>
      </c>
      <c r="I8" s="32" t="s">
        <v>299</v>
      </c>
      <c r="L8" s="32" t="s">
        <v>299</v>
      </c>
      <c r="N8" s="22">
        <f t="shared" si="0"/>
        <v>6</v>
      </c>
    </row>
    <row r="9" spans="1:14" ht="16" x14ac:dyDescent="0.2">
      <c r="A9" s="22" t="s">
        <v>312</v>
      </c>
      <c r="B9" s="31" t="s">
        <v>325</v>
      </c>
      <c r="C9" s="32" t="s">
        <v>299</v>
      </c>
      <c r="D9" s="32" t="s">
        <v>299</v>
      </c>
      <c r="E9" s="32" t="s">
        <v>299</v>
      </c>
      <c r="F9" s="32" t="s">
        <v>299</v>
      </c>
      <c r="L9" s="32" t="s">
        <v>299</v>
      </c>
      <c r="M9" s="32" t="s">
        <v>299</v>
      </c>
      <c r="N9" s="22">
        <f t="shared" si="0"/>
        <v>6</v>
      </c>
    </row>
    <row r="10" spans="1:14" ht="16" x14ac:dyDescent="0.2">
      <c r="A10" s="22" t="s">
        <v>314</v>
      </c>
      <c r="B10" s="31" t="s">
        <v>315</v>
      </c>
      <c r="C10" s="32" t="s">
        <v>299</v>
      </c>
      <c r="E10" s="32" t="s">
        <v>299</v>
      </c>
      <c r="F10" s="32" t="s">
        <v>299</v>
      </c>
      <c r="G10" s="32" t="s">
        <v>299</v>
      </c>
      <c r="K10" s="32" t="s">
        <v>299</v>
      </c>
      <c r="L10" s="32" t="s">
        <v>299</v>
      </c>
      <c r="N10" s="22">
        <f t="shared" si="0"/>
        <v>0</v>
      </c>
    </row>
    <row r="11" spans="1:14" ht="16" x14ac:dyDescent="0.2">
      <c r="A11" s="22" t="s">
        <v>316</v>
      </c>
      <c r="B11" s="31" t="s">
        <v>502</v>
      </c>
      <c r="N11" s="22">
        <f t="shared" si="0"/>
        <v>0</v>
      </c>
    </row>
    <row r="12" spans="1:14" ht="16" x14ac:dyDescent="0.2">
      <c r="A12" s="22" t="s">
        <v>318</v>
      </c>
      <c r="B12" s="31" t="s">
        <v>524</v>
      </c>
      <c r="N12" s="22">
        <f t="shared" si="0"/>
        <v>3</v>
      </c>
    </row>
    <row r="13" spans="1:14" ht="16" x14ac:dyDescent="0.2">
      <c r="A13" s="22" t="s">
        <v>320</v>
      </c>
      <c r="B13" s="31" t="s">
        <v>525</v>
      </c>
      <c r="C13" s="32" t="s">
        <v>299</v>
      </c>
      <c r="D13" s="32" t="s">
        <v>299</v>
      </c>
      <c r="L13" s="32" t="s">
        <v>299</v>
      </c>
      <c r="N13" s="22">
        <f t="shared" si="0"/>
        <v>9</v>
      </c>
    </row>
    <row r="14" spans="1:14" ht="16" x14ac:dyDescent="0.2">
      <c r="A14" s="22" t="s">
        <v>322</v>
      </c>
      <c r="B14" s="31" t="s">
        <v>323</v>
      </c>
      <c r="C14" s="32" t="s">
        <v>299</v>
      </c>
      <c r="D14" s="32" t="s">
        <v>299</v>
      </c>
      <c r="E14" s="32" t="s">
        <v>299</v>
      </c>
      <c r="F14" s="32" t="s">
        <v>299</v>
      </c>
      <c r="G14" s="32" t="s">
        <v>299</v>
      </c>
      <c r="H14" s="32" t="s">
        <v>299</v>
      </c>
      <c r="I14" s="32" t="s">
        <v>299</v>
      </c>
      <c r="L14" s="32" t="s">
        <v>299</v>
      </c>
      <c r="M14" s="32" t="s">
        <v>299</v>
      </c>
      <c r="N14" s="22">
        <f t="shared" si="0"/>
        <v>0</v>
      </c>
    </row>
    <row r="15" spans="1:14" ht="16" x14ac:dyDescent="0.2">
      <c r="A15" s="22" t="s">
        <v>324</v>
      </c>
      <c r="B15" s="31" t="s">
        <v>325</v>
      </c>
      <c r="N15" s="22">
        <f t="shared" si="0"/>
        <v>6</v>
      </c>
    </row>
    <row r="16" spans="1:14" ht="16" x14ac:dyDescent="0.2">
      <c r="A16" s="22" t="s">
        <v>326</v>
      </c>
      <c r="B16" s="31" t="s">
        <v>526</v>
      </c>
      <c r="C16" s="32" t="s">
        <v>299</v>
      </c>
      <c r="D16" s="32" t="s">
        <v>299</v>
      </c>
      <c r="E16" s="32" t="s">
        <v>299</v>
      </c>
      <c r="F16" s="32" t="s">
        <v>299</v>
      </c>
      <c r="I16" s="32" t="s">
        <v>299</v>
      </c>
      <c r="L16" s="32" t="s">
        <v>299</v>
      </c>
      <c r="N16" s="22">
        <f t="shared" si="0"/>
        <v>0</v>
      </c>
    </row>
    <row r="17" spans="1:14" ht="16" x14ac:dyDescent="0.2">
      <c r="A17" s="22" t="s">
        <v>328</v>
      </c>
      <c r="B17" s="31" t="s">
        <v>527</v>
      </c>
      <c r="N17" s="22">
        <f t="shared" si="0"/>
        <v>6</v>
      </c>
    </row>
    <row r="18" spans="1:14" ht="16" x14ac:dyDescent="0.2">
      <c r="A18" s="22" t="s">
        <v>330</v>
      </c>
      <c r="B18" s="31" t="s">
        <v>504</v>
      </c>
      <c r="C18" s="32" t="s">
        <v>299</v>
      </c>
      <c r="D18" s="32" t="s">
        <v>299</v>
      </c>
      <c r="E18" s="32" t="s">
        <v>299</v>
      </c>
      <c r="F18" s="32" t="s">
        <v>299</v>
      </c>
      <c r="L18" s="32" t="s">
        <v>299</v>
      </c>
      <c r="M18" s="32" t="s">
        <v>299</v>
      </c>
      <c r="N18" s="22">
        <f t="shared" si="0"/>
        <v>9</v>
      </c>
    </row>
    <row r="19" spans="1:14" ht="16" x14ac:dyDescent="0.2">
      <c r="A19" s="22" t="s">
        <v>332</v>
      </c>
      <c r="B19" s="31" t="s">
        <v>505</v>
      </c>
      <c r="C19" s="32" t="s">
        <v>299</v>
      </c>
      <c r="D19" s="32" t="s">
        <v>299</v>
      </c>
      <c r="E19" s="32" t="s">
        <v>299</v>
      </c>
      <c r="F19" s="32" t="s">
        <v>299</v>
      </c>
      <c r="G19" s="32" t="s">
        <v>299</v>
      </c>
      <c r="H19" s="32" t="s">
        <v>299</v>
      </c>
      <c r="K19" s="32" t="s">
        <v>299</v>
      </c>
      <c r="L19" s="32" t="s">
        <v>299</v>
      </c>
      <c r="M19" s="32" t="s">
        <v>299</v>
      </c>
      <c r="N19" s="22">
        <f t="shared" si="0"/>
        <v>3</v>
      </c>
    </row>
    <row r="20" spans="1:14" ht="16" x14ac:dyDescent="0.2">
      <c r="A20" s="22" t="s">
        <v>334</v>
      </c>
      <c r="B20" s="31" t="s">
        <v>506</v>
      </c>
      <c r="C20" s="32" t="s">
        <v>299</v>
      </c>
      <c r="D20" s="32" t="s">
        <v>299</v>
      </c>
      <c r="L20" s="32" t="s">
        <v>299</v>
      </c>
      <c r="N20" s="22">
        <f t="shared" si="0"/>
        <v>0</v>
      </c>
    </row>
    <row r="21" spans="1:14" ht="16" x14ac:dyDescent="0.2">
      <c r="A21" s="22" t="s">
        <v>336</v>
      </c>
      <c r="B21" s="31" t="s">
        <v>528</v>
      </c>
      <c r="N21" s="22">
        <f t="shared" si="0"/>
        <v>7</v>
      </c>
    </row>
    <row r="22" spans="1:14" ht="16" x14ac:dyDescent="0.2">
      <c r="A22" s="22" t="s">
        <v>338</v>
      </c>
      <c r="B22" s="31" t="s">
        <v>529</v>
      </c>
      <c r="C22" s="32" t="s">
        <v>299</v>
      </c>
      <c r="D22" s="32" t="s">
        <v>299</v>
      </c>
      <c r="E22" s="32" t="s">
        <v>299</v>
      </c>
      <c r="F22" s="32" t="s">
        <v>299</v>
      </c>
      <c r="K22" s="32" t="s">
        <v>299</v>
      </c>
      <c r="L22" s="32" t="s">
        <v>299</v>
      </c>
      <c r="M22" s="32" t="s">
        <v>299</v>
      </c>
      <c r="N22" s="22">
        <f t="shared" si="0"/>
        <v>0</v>
      </c>
    </row>
    <row r="23" spans="1:14" ht="16" x14ac:dyDescent="0.2">
      <c r="A23" s="22" t="s">
        <v>340</v>
      </c>
      <c r="B23" s="31" t="s">
        <v>341</v>
      </c>
      <c r="N23" s="22">
        <f t="shared" si="0"/>
        <v>3</v>
      </c>
    </row>
    <row r="24" spans="1:14" ht="16" x14ac:dyDescent="0.2">
      <c r="A24" s="22" t="s">
        <v>342</v>
      </c>
      <c r="B24" s="31" t="s">
        <v>343</v>
      </c>
      <c r="C24" s="32" t="s">
        <v>299</v>
      </c>
      <c r="E24" s="32" t="s">
        <v>299</v>
      </c>
      <c r="L24" s="32" t="s">
        <v>299</v>
      </c>
      <c r="N24" s="22">
        <f t="shared" si="0"/>
        <v>7</v>
      </c>
    </row>
    <row r="25" spans="1:14" ht="16" x14ac:dyDescent="0.2">
      <c r="A25" s="22" t="s">
        <v>344</v>
      </c>
      <c r="B25" s="31" t="s">
        <v>345</v>
      </c>
      <c r="C25" s="32" t="s">
        <v>299</v>
      </c>
      <c r="D25" s="32" t="s">
        <v>299</v>
      </c>
      <c r="E25" s="32" t="s">
        <v>299</v>
      </c>
      <c r="F25" s="32" t="s">
        <v>299</v>
      </c>
      <c r="G25" s="32" t="s">
        <v>299</v>
      </c>
      <c r="K25" s="32" t="s">
        <v>299</v>
      </c>
      <c r="L25" s="32" t="s">
        <v>299</v>
      </c>
      <c r="N25" s="22">
        <f t="shared" si="0"/>
        <v>5</v>
      </c>
    </row>
    <row r="26" spans="1:14" ht="16" x14ac:dyDescent="0.2">
      <c r="A26" s="22" t="s">
        <v>346</v>
      </c>
      <c r="B26" s="31" t="s">
        <v>347</v>
      </c>
      <c r="C26" s="32" t="s">
        <v>299</v>
      </c>
      <c r="D26" s="32" t="s">
        <v>299</v>
      </c>
      <c r="E26" s="32" t="s">
        <v>299</v>
      </c>
      <c r="F26" s="32" t="s">
        <v>299</v>
      </c>
      <c r="L26" s="32" t="s">
        <v>299</v>
      </c>
      <c r="N26" s="22">
        <f t="shared" si="0"/>
        <v>3</v>
      </c>
    </row>
    <row r="27" spans="1:14" ht="16" x14ac:dyDescent="0.2">
      <c r="A27" s="22" t="s">
        <v>348</v>
      </c>
      <c r="B27" s="31" t="s">
        <v>507</v>
      </c>
      <c r="C27" s="32" t="s">
        <v>299</v>
      </c>
      <c r="F27" s="32" t="s">
        <v>299</v>
      </c>
      <c r="L27" s="32" t="s">
        <v>299</v>
      </c>
      <c r="N27" s="22">
        <f t="shared" si="0"/>
        <v>7</v>
      </c>
    </row>
    <row r="28" spans="1:14" ht="16" x14ac:dyDescent="0.2">
      <c r="A28" s="22" t="s">
        <v>350</v>
      </c>
      <c r="B28" s="31" t="s">
        <v>508</v>
      </c>
      <c r="C28" s="32" t="s">
        <v>299</v>
      </c>
      <c r="D28" s="32" t="s">
        <v>299</v>
      </c>
      <c r="E28" s="32" t="s">
        <v>299</v>
      </c>
      <c r="F28" s="32" t="s">
        <v>299</v>
      </c>
      <c r="G28" s="32" t="s">
        <v>299</v>
      </c>
      <c r="K28" s="32" t="s">
        <v>299</v>
      </c>
      <c r="L28" s="32" t="s">
        <v>299</v>
      </c>
      <c r="N28" s="22">
        <f t="shared" si="0"/>
        <v>3</v>
      </c>
    </row>
    <row r="29" spans="1:14" ht="16" x14ac:dyDescent="0.2">
      <c r="A29" s="22" t="s">
        <v>352</v>
      </c>
      <c r="B29" s="31" t="s">
        <v>353</v>
      </c>
      <c r="C29" s="32" t="s">
        <v>299</v>
      </c>
      <c r="F29" s="32" t="s">
        <v>299</v>
      </c>
      <c r="L29" s="32" t="s">
        <v>299</v>
      </c>
      <c r="N29" s="22">
        <f t="shared" si="0"/>
        <v>0</v>
      </c>
    </row>
    <row r="30" spans="1:14" ht="16" x14ac:dyDescent="0.2">
      <c r="A30" s="22" t="s">
        <v>354</v>
      </c>
      <c r="B30" s="31" t="s">
        <v>355</v>
      </c>
      <c r="N30" s="22">
        <f t="shared" si="0"/>
        <v>6</v>
      </c>
    </row>
    <row r="31" spans="1:14" ht="16" x14ac:dyDescent="0.2">
      <c r="A31" s="22" t="s">
        <v>356</v>
      </c>
      <c r="B31" s="31" t="s">
        <v>357</v>
      </c>
      <c r="C31" s="32" t="s">
        <v>299</v>
      </c>
      <c r="D31" s="32" t="s">
        <v>299</v>
      </c>
      <c r="E31" s="32" t="s">
        <v>299</v>
      </c>
      <c r="F31" s="32" t="s">
        <v>299</v>
      </c>
      <c r="L31" s="32" t="s">
        <v>299</v>
      </c>
      <c r="M31" s="32" t="s">
        <v>299</v>
      </c>
      <c r="N31" s="22">
        <f t="shared" si="0"/>
        <v>5</v>
      </c>
    </row>
    <row r="32" spans="1:14" ht="16" x14ac:dyDescent="0.2">
      <c r="A32" s="22" t="s">
        <v>358</v>
      </c>
      <c r="B32" s="31" t="s">
        <v>530</v>
      </c>
      <c r="C32" s="32" t="s">
        <v>299</v>
      </c>
      <c r="D32" s="32" t="s">
        <v>299</v>
      </c>
      <c r="E32" s="32" t="s">
        <v>299</v>
      </c>
      <c r="F32" s="32" t="s">
        <v>299</v>
      </c>
      <c r="L32" s="32" t="s">
        <v>299</v>
      </c>
      <c r="N32" s="22">
        <f t="shared" si="0"/>
        <v>6</v>
      </c>
    </row>
    <row r="33" spans="1:14" ht="16" x14ac:dyDescent="0.2">
      <c r="A33" s="22" t="s">
        <v>360</v>
      </c>
      <c r="B33" s="31" t="s">
        <v>361</v>
      </c>
      <c r="C33" s="32" t="s">
        <v>299</v>
      </c>
      <c r="D33" s="32" t="s">
        <v>299</v>
      </c>
      <c r="E33" s="32" t="s">
        <v>299</v>
      </c>
      <c r="F33" s="32" t="s">
        <v>299</v>
      </c>
      <c r="K33" s="32" t="s">
        <v>299</v>
      </c>
      <c r="L33" s="32" t="s">
        <v>299</v>
      </c>
      <c r="N33" s="22">
        <f t="shared" si="0"/>
        <v>8</v>
      </c>
    </row>
    <row r="34" spans="1:14" ht="16" x14ac:dyDescent="0.2">
      <c r="A34" s="22" t="s">
        <v>362</v>
      </c>
      <c r="B34" s="31" t="s">
        <v>363</v>
      </c>
      <c r="C34" s="32" t="s">
        <v>299</v>
      </c>
      <c r="D34" s="32" t="s">
        <v>299</v>
      </c>
      <c r="E34" s="32" t="s">
        <v>299</v>
      </c>
      <c r="F34" s="32" t="s">
        <v>299</v>
      </c>
      <c r="G34" s="32" t="s">
        <v>299</v>
      </c>
      <c r="H34" s="32" t="s">
        <v>299</v>
      </c>
      <c r="L34" s="32" t="s">
        <v>299</v>
      </c>
      <c r="M34" s="32" t="s">
        <v>299</v>
      </c>
      <c r="N34" s="22">
        <f t="shared" si="0"/>
        <v>3</v>
      </c>
    </row>
    <row r="35" spans="1:14" ht="16" x14ac:dyDescent="0.2">
      <c r="A35" s="22" t="s">
        <v>364</v>
      </c>
      <c r="B35" s="31" t="s">
        <v>365</v>
      </c>
      <c r="C35" s="32" t="s">
        <v>299</v>
      </c>
      <c r="F35" s="32" t="s">
        <v>299</v>
      </c>
      <c r="L35" s="32" t="s">
        <v>299</v>
      </c>
      <c r="N35" s="22">
        <f t="shared" si="0"/>
        <v>8</v>
      </c>
    </row>
    <row r="36" spans="1:14" ht="16" x14ac:dyDescent="0.2">
      <c r="A36" s="22" t="s">
        <v>366</v>
      </c>
      <c r="B36" s="31" t="s">
        <v>509</v>
      </c>
      <c r="C36" s="32" t="s">
        <v>299</v>
      </c>
      <c r="D36" s="32" t="s">
        <v>299</v>
      </c>
      <c r="E36" s="32" t="s">
        <v>299</v>
      </c>
      <c r="F36" s="32" t="s">
        <v>299</v>
      </c>
      <c r="H36" s="32" t="s">
        <v>299</v>
      </c>
      <c r="K36" s="32" t="s">
        <v>299</v>
      </c>
      <c r="L36" s="32" t="s">
        <v>299</v>
      </c>
      <c r="M36" s="32" t="s">
        <v>299</v>
      </c>
      <c r="N36" s="22">
        <f t="shared" si="0"/>
        <v>0</v>
      </c>
    </row>
    <row r="37" spans="1:14" ht="16" x14ac:dyDescent="0.2">
      <c r="A37" s="22" t="s">
        <v>368</v>
      </c>
      <c r="B37" s="31" t="s">
        <v>531</v>
      </c>
      <c r="N37" s="22">
        <f t="shared" si="0"/>
        <v>8</v>
      </c>
    </row>
    <row r="38" spans="1:14" ht="16" x14ac:dyDescent="0.2">
      <c r="A38" s="22" t="s">
        <v>370</v>
      </c>
      <c r="B38" s="31" t="s">
        <v>532</v>
      </c>
      <c r="C38" s="32" t="s">
        <v>299</v>
      </c>
      <c r="D38" s="32" t="s">
        <v>299</v>
      </c>
      <c r="E38" s="32" t="s">
        <v>299</v>
      </c>
      <c r="F38" s="32" t="s">
        <v>299</v>
      </c>
      <c r="G38" s="32" t="s">
        <v>299</v>
      </c>
      <c r="K38" s="32" t="s">
        <v>299</v>
      </c>
      <c r="L38" s="32" t="s">
        <v>299</v>
      </c>
      <c r="M38" s="32" t="s">
        <v>299</v>
      </c>
      <c r="N38" s="22">
        <f t="shared" si="0"/>
        <v>3</v>
      </c>
    </row>
    <row r="39" spans="1:14" ht="16" x14ac:dyDescent="0.2">
      <c r="A39" s="22" t="s">
        <v>372</v>
      </c>
      <c r="B39" s="31" t="s">
        <v>37</v>
      </c>
      <c r="C39" s="32" t="s">
        <v>299</v>
      </c>
      <c r="D39" s="32" t="s">
        <v>299</v>
      </c>
      <c r="K39" s="32" t="s">
        <v>299</v>
      </c>
      <c r="N39" s="22">
        <f t="shared" si="0"/>
        <v>9</v>
      </c>
    </row>
    <row r="40" spans="1:14" ht="16" x14ac:dyDescent="0.2">
      <c r="A40" s="22" t="s">
        <v>373</v>
      </c>
      <c r="B40" s="31" t="s">
        <v>510</v>
      </c>
      <c r="C40" s="32" t="s">
        <v>299</v>
      </c>
      <c r="D40" s="32" t="s">
        <v>299</v>
      </c>
      <c r="E40" s="32" t="s">
        <v>299</v>
      </c>
      <c r="F40" s="32" t="s">
        <v>299</v>
      </c>
      <c r="G40" s="32" t="s">
        <v>299</v>
      </c>
      <c r="H40" s="32" t="s">
        <v>299</v>
      </c>
      <c r="I40" s="32" t="s">
        <v>299</v>
      </c>
      <c r="K40" s="32" t="s">
        <v>299</v>
      </c>
      <c r="L40" s="32" t="s">
        <v>299</v>
      </c>
      <c r="N40" s="22">
        <f t="shared" si="0"/>
        <v>8</v>
      </c>
    </row>
    <row r="41" spans="1:14" ht="16" x14ac:dyDescent="0.2">
      <c r="A41" s="22" t="s">
        <v>375</v>
      </c>
      <c r="B41" s="31" t="s">
        <v>533</v>
      </c>
      <c r="C41" s="32" t="s">
        <v>299</v>
      </c>
      <c r="D41" s="32" t="s">
        <v>299</v>
      </c>
      <c r="E41" s="32" t="s">
        <v>299</v>
      </c>
      <c r="F41" s="32" t="s">
        <v>299</v>
      </c>
      <c r="I41" s="32" t="s">
        <v>299</v>
      </c>
      <c r="K41" s="32" t="s">
        <v>299</v>
      </c>
      <c r="L41" s="32" t="s">
        <v>299</v>
      </c>
      <c r="M41" s="32" t="s">
        <v>299</v>
      </c>
      <c r="N41" s="22">
        <f t="shared" si="0"/>
        <v>5</v>
      </c>
    </row>
    <row r="42" spans="1:14" ht="16" x14ac:dyDescent="0.2">
      <c r="A42" s="22" t="s">
        <v>377</v>
      </c>
      <c r="B42" s="31" t="s">
        <v>378</v>
      </c>
      <c r="C42" s="32" t="s">
        <v>299</v>
      </c>
      <c r="D42" s="32" t="s">
        <v>299</v>
      </c>
      <c r="E42" s="32" t="s">
        <v>299</v>
      </c>
      <c r="F42" s="32" t="s">
        <v>299</v>
      </c>
      <c r="L42" s="32" t="s">
        <v>299</v>
      </c>
      <c r="N42" s="22">
        <f t="shared" si="0"/>
        <v>4</v>
      </c>
    </row>
    <row r="43" spans="1:14" ht="16" x14ac:dyDescent="0.2">
      <c r="A43" s="22" t="s">
        <v>379</v>
      </c>
      <c r="B43" s="31" t="s">
        <v>511</v>
      </c>
      <c r="C43" s="32" t="s">
        <v>299</v>
      </c>
      <c r="E43" s="32" t="s">
        <v>299</v>
      </c>
      <c r="F43" s="32" t="s">
        <v>299</v>
      </c>
      <c r="L43" s="32" t="s">
        <v>299</v>
      </c>
      <c r="N43" s="22">
        <f t="shared" si="0"/>
        <v>8</v>
      </c>
    </row>
    <row r="44" spans="1:14" ht="16" x14ac:dyDescent="0.2">
      <c r="A44" s="22" t="s">
        <v>381</v>
      </c>
      <c r="B44" s="31" t="s">
        <v>382</v>
      </c>
      <c r="C44" s="32" t="s">
        <v>299</v>
      </c>
      <c r="D44" s="32" t="s">
        <v>299</v>
      </c>
      <c r="E44" s="32" t="s">
        <v>299</v>
      </c>
      <c r="F44" s="32" t="s">
        <v>299</v>
      </c>
      <c r="I44" s="32" t="s">
        <v>299</v>
      </c>
      <c r="K44" s="32" t="s">
        <v>299</v>
      </c>
      <c r="L44" s="32" t="s">
        <v>299</v>
      </c>
      <c r="M44" s="32" t="s">
        <v>299</v>
      </c>
      <c r="N44" s="22">
        <f t="shared" si="0"/>
        <v>5</v>
      </c>
    </row>
    <row r="45" spans="1:14" ht="16" x14ac:dyDescent="0.2">
      <c r="A45" s="22" t="s">
        <v>383</v>
      </c>
      <c r="B45" s="31" t="s">
        <v>43</v>
      </c>
      <c r="C45" s="32" t="s">
        <v>299</v>
      </c>
      <c r="D45" s="32" t="s">
        <v>299</v>
      </c>
      <c r="E45" s="32" t="s">
        <v>299</v>
      </c>
      <c r="F45" s="32" t="s">
        <v>299</v>
      </c>
      <c r="L45" s="32" t="s">
        <v>299</v>
      </c>
      <c r="N45" s="22">
        <f t="shared" si="0"/>
        <v>6</v>
      </c>
    </row>
    <row r="46" spans="1:14" ht="16" x14ac:dyDescent="0.2">
      <c r="A46" s="22" t="s">
        <v>385</v>
      </c>
      <c r="B46" s="31" t="s">
        <v>534</v>
      </c>
      <c r="C46" s="32" t="s">
        <v>299</v>
      </c>
      <c r="D46" s="32" t="s">
        <v>299</v>
      </c>
      <c r="E46" s="32" t="s">
        <v>299</v>
      </c>
      <c r="F46" s="32" t="s">
        <v>299</v>
      </c>
      <c r="K46" s="32" t="s">
        <v>299</v>
      </c>
      <c r="L46" s="32" t="s">
        <v>299</v>
      </c>
      <c r="N46" s="22">
        <f t="shared" si="0"/>
        <v>5</v>
      </c>
    </row>
    <row r="47" spans="1:14" ht="16" x14ac:dyDescent="0.2">
      <c r="A47" s="22" t="s">
        <v>387</v>
      </c>
      <c r="B47" s="31" t="s">
        <v>388</v>
      </c>
      <c r="C47" s="32" t="s">
        <v>299</v>
      </c>
      <c r="D47" s="32" t="s">
        <v>299</v>
      </c>
      <c r="E47" s="32" t="s">
        <v>299</v>
      </c>
      <c r="F47" s="32" t="s">
        <v>299</v>
      </c>
      <c r="L47" s="32" t="s">
        <v>299</v>
      </c>
      <c r="N47" s="22">
        <f t="shared" si="0"/>
        <v>6</v>
      </c>
    </row>
    <row r="48" spans="1:14" ht="16" x14ac:dyDescent="0.2">
      <c r="A48" s="22" t="s">
        <v>389</v>
      </c>
      <c r="B48" s="31" t="s">
        <v>390</v>
      </c>
      <c r="C48" s="32" t="s">
        <v>299</v>
      </c>
      <c r="D48" s="32" t="s">
        <v>299</v>
      </c>
      <c r="E48" s="32" t="s">
        <v>299</v>
      </c>
      <c r="F48" s="32" t="s">
        <v>299</v>
      </c>
      <c r="K48" s="32" t="s">
        <v>299</v>
      </c>
      <c r="L48" s="32" t="s">
        <v>299</v>
      </c>
      <c r="N48" s="22">
        <f t="shared" si="0"/>
        <v>6</v>
      </c>
    </row>
    <row r="49" spans="1:14" ht="16" x14ac:dyDescent="0.2">
      <c r="A49" s="22" t="s">
        <v>391</v>
      </c>
      <c r="B49" s="31" t="s">
        <v>392</v>
      </c>
      <c r="C49" s="32" t="s">
        <v>299</v>
      </c>
      <c r="D49" s="32" t="s">
        <v>299</v>
      </c>
      <c r="E49" s="32" t="s">
        <v>299</v>
      </c>
      <c r="F49" s="32" t="s">
        <v>299</v>
      </c>
      <c r="K49" s="32" t="s">
        <v>299</v>
      </c>
      <c r="L49" s="32" t="s">
        <v>299</v>
      </c>
      <c r="N49" s="22">
        <f t="shared" si="0"/>
        <v>4</v>
      </c>
    </row>
    <row r="50" spans="1:14" ht="16" x14ac:dyDescent="0.2">
      <c r="A50" s="22" t="s">
        <v>393</v>
      </c>
      <c r="B50" s="31" t="s">
        <v>394</v>
      </c>
      <c r="C50" s="32" t="s">
        <v>299</v>
      </c>
      <c r="D50" s="32" t="s">
        <v>299</v>
      </c>
      <c r="G50" s="32" t="s">
        <v>299</v>
      </c>
      <c r="L50" s="32" t="s">
        <v>299</v>
      </c>
      <c r="N50" s="22">
        <f t="shared" si="0"/>
        <v>8</v>
      </c>
    </row>
    <row r="51" spans="1:14" ht="16" x14ac:dyDescent="0.2">
      <c r="A51" s="22" t="s">
        <v>395</v>
      </c>
      <c r="B51" s="31" t="s">
        <v>535</v>
      </c>
      <c r="C51" s="32" t="s">
        <v>299</v>
      </c>
      <c r="D51" s="32" t="s">
        <v>299</v>
      </c>
      <c r="E51" s="32" t="s">
        <v>299</v>
      </c>
      <c r="F51" s="32" t="s">
        <v>299</v>
      </c>
      <c r="G51" s="32" t="s">
        <v>299</v>
      </c>
      <c r="I51" s="32" t="s">
        <v>299</v>
      </c>
      <c r="L51" s="32" t="s">
        <v>299</v>
      </c>
      <c r="M51" s="32" t="s">
        <v>299</v>
      </c>
      <c r="N51" s="22">
        <f t="shared" si="0"/>
        <v>4</v>
      </c>
    </row>
    <row r="52" spans="1:14" ht="16" x14ac:dyDescent="0.2">
      <c r="A52" s="22" t="s">
        <v>396</v>
      </c>
      <c r="B52" s="31" t="s">
        <v>397</v>
      </c>
      <c r="C52" s="32" t="s">
        <v>299</v>
      </c>
      <c r="E52" s="32" t="s">
        <v>299</v>
      </c>
      <c r="F52" s="32" t="s">
        <v>299</v>
      </c>
      <c r="L52" s="32" t="s">
        <v>299</v>
      </c>
      <c r="N52" s="22">
        <f t="shared" si="0"/>
        <v>2</v>
      </c>
    </row>
    <row r="53" spans="1:14" ht="16" x14ac:dyDescent="0.2">
      <c r="A53" s="22" t="s">
        <v>398</v>
      </c>
      <c r="B53" s="31" t="s">
        <v>536</v>
      </c>
      <c r="C53" s="32" t="s">
        <v>299</v>
      </c>
      <c r="D53" s="32" t="s">
        <v>299</v>
      </c>
      <c r="N53" s="22">
        <f t="shared" si="0"/>
        <v>5</v>
      </c>
    </row>
    <row r="54" spans="1:14" ht="16" x14ac:dyDescent="0.2">
      <c r="A54" s="22" t="s">
        <v>400</v>
      </c>
      <c r="B54" s="31" t="s">
        <v>537</v>
      </c>
      <c r="C54" s="32" t="s">
        <v>299</v>
      </c>
      <c r="D54" s="32" t="s">
        <v>299</v>
      </c>
      <c r="E54" s="32" t="s">
        <v>299</v>
      </c>
      <c r="F54" s="32" t="s">
        <v>299</v>
      </c>
      <c r="L54" s="32" t="s">
        <v>299</v>
      </c>
      <c r="N54" s="22">
        <f t="shared" si="0"/>
        <v>4</v>
      </c>
    </row>
    <row r="55" spans="1:14" ht="16" x14ac:dyDescent="0.2">
      <c r="A55" s="22" t="s">
        <v>402</v>
      </c>
      <c r="B55" s="31" t="s">
        <v>403</v>
      </c>
      <c r="C55" s="32" t="s">
        <v>299</v>
      </c>
      <c r="F55" s="32" t="s">
        <v>299</v>
      </c>
      <c r="L55" s="32" t="s">
        <v>299</v>
      </c>
      <c r="M55" s="32" t="s">
        <v>299</v>
      </c>
      <c r="N55" s="22">
        <f t="shared" si="0"/>
        <v>9</v>
      </c>
    </row>
    <row r="56" spans="1:14" ht="16" x14ac:dyDescent="0.2">
      <c r="A56" s="22" t="s">
        <v>404</v>
      </c>
      <c r="B56" s="31" t="s">
        <v>405</v>
      </c>
      <c r="C56" s="32" t="s">
        <v>299</v>
      </c>
      <c r="D56" s="32" t="s">
        <v>299</v>
      </c>
      <c r="E56" s="32" t="s">
        <v>299</v>
      </c>
      <c r="F56" s="32" t="s">
        <v>299</v>
      </c>
      <c r="G56" s="32" t="s">
        <v>299</v>
      </c>
      <c r="H56" s="32" t="s">
        <v>299</v>
      </c>
      <c r="I56" s="32" t="s">
        <v>299</v>
      </c>
      <c r="K56" s="32" t="s">
        <v>299</v>
      </c>
      <c r="L56" s="32" t="s">
        <v>299</v>
      </c>
      <c r="N56" s="22">
        <f t="shared" si="0"/>
        <v>0</v>
      </c>
    </row>
    <row r="57" spans="1:14" ht="16" x14ac:dyDescent="0.2">
      <c r="A57" s="22" t="s">
        <v>406</v>
      </c>
      <c r="B57" s="31" t="s">
        <v>501</v>
      </c>
      <c r="N57" s="22">
        <f t="shared" si="0"/>
        <v>0</v>
      </c>
    </row>
    <row r="58" spans="1:14" ht="16" x14ac:dyDescent="0.2">
      <c r="A58" s="22" t="s">
        <v>407</v>
      </c>
      <c r="B58" s="31" t="s">
        <v>538</v>
      </c>
      <c r="N58" s="22">
        <f t="shared" si="0"/>
        <v>4</v>
      </c>
    </row>
    <row r="59" spans="1:14" ht="16" x14ac:dyDescent="0.2">
      <c r="A59" s="22" t="s">
        <v>409</v>
      </c>
      <c r="B59" s="31" t="s">
        <v>512</v>
      </c>
      <c r="C59" s="32" t="s">
        <v>299</v>
      </c>
      <c r="D59" s="32" t="s">
        <v>299</v>
      </c>
      <c r="F59" s="32" t="s">
        <v>299</v>
      </c>
      <c r="K59" s="32" t="s">
        <v>299</v>
      </c>
      <c r="N59" s="22">
        <f t="shared" si="0"/>
        <v>3</v>
      </c>
    </row>
    <row r="60" spans="1:14" ht="16" x14ac:dyDescent="0.2">
      <c r="A60" s="22" t="s">
        <v>411</v>
      </c>
      <c r="B60" s="31" t="s">
        <v>539</v>
      </c>
      <c r="C60" s="32" t="s">
        <v>299</v>
      </c>
      <c r="D60" s="32" t="s">
        <v>299</v>
      </c>
      <c r="L60" s="32" t="s">
        <v>299</v>
      </c>
      <c r="N60" s="22">
        <f t="shared" si="0"/>
        <v>5</v>
      </c>
    </row>
    <row r="61" spans="1:14" ht="16" x14ac:dyDescent="0.2">
      <c r="A61" s="22" t="s">
        <v>413</v>
      </c>
      <c r="B61" s="31" t="s">
        <v>540</v>
      </c>
      <c r="C61" s="32" t="s">
        <v>299</v>
      </c>
      <c r="D61" s="32" t="s">
        <v>299</v>
      </c>
      <c r="E61" s="32" t="s">
        <v>299</v>
      </c>
      <c r="F61" s="32" t="s">
        <v>299</v>
      </c>
      <c r="L61" s="32" t="s">
        <v>299</v>
      </c>
      <c r="N61" s="22">
        <f t="shared" si="0"/>
        <v>5</v>
      </c>
    </row>
    <row r="62" spans="1:14" ht="16" x14ac:dyDescent="0.2">
      <c r="A62" s="22" t="s">
        <v>415</v>
      </c>
      <c r="B62" s="31" t="s">
        <v>514</v>
      </c>
      <c r="C62" s="32" t="s">
        <v>299</v>
      </c>
      <c r="D62" s="32" t="s">
        <v>299</v>
      </c>
      <c r="E62" s="32" t="s">
        <v>299</v>
      </c>
      <c r="F62" s="32" t="s">
        <v>299</v>
      </c>
      <c r="L62" s="32" t="s">
        <v>299</v>
      </c>
      <c r="N62" s="22">
        <f t="shared" si="0"/>
        <v>0</v>
      </c>
    </row>
    <row r="63" spans="1:14" ht="16" x14ac:dyDescent="0.2">
      <c r="A63" s="22" t="s">
        <v>416</v>
      </c>
      <c r="B63" s="31" t="s">
        <v>417</v>
      </c>
      <c r="N63" s="22">
        <f t="shared" si="0"/>
        <v>2</v>
      </c>
    </row>
    <row r="64" spans="1:14" ht="16" x14ac:dyDescent="0.2">
      <c r="A64" s="22" t="s">
        <v>418</v>
      </c>
      <c r="B64" s="31" t="s">
        <v>515</v>
      </c>
      <c r="C64" s="32" t="s">
        <v>299</v>
      </c>
      <c r="F64" s="32" t="s">
        <v>299</v>
      </c>
      <c r="N64" s="22">
        <f t="shared" si="0"/>
        <v>3</v>
      </c>
    </row>
    <row r="65" spans="1:14" ht="16" x14ac:dyDescent="0.2">
      <c r="A65" s="22" t="s">
        <v>420</v>
      </c>
      <c r="B65" s="31" t="s">
        <v>516</v>
      </c>
      <c r="C65" s="32" t="s">
        <v>299</v>
      </c>
      <c r="D65" s="32" t="s">
        <v>299</v>
      </c>
      <c r="L65" s="32" t="s">
        <v>299</v>
      </c>
      <c r="N65" s="22">
        <f t="shared" si="0"/>
        <v>6</v>
      </c>
    </row>
    <row r="66" spans="1:14" ht="16" x14ac:dyDescent="0.2">
      <c r="A66" s="22" t="s">
        <v>422</v>
      </c>
      <c r="B66" s="31" t="s">
        <v>423</v>
      </c>
      <c r="C66" s="32" t="s">
        <v>299</v>
      </c>
      <c r="D66" s="32" t="s">
        <v>299</v>
      </c>
      <c r="E66" s="32" t="s">
        <v>299</v>
      </c>
      <c r="F66" s="32" t="s">
        <v>299</v>
      </c>
      <c r="K66" s="32" t="s">
        <v>299</v>
      </c>
      <c r="L66" s="32" t="s">
        <v>299</v>
      </c>
      <c r="N66" s="22">
        <f t="shared" ref="N66:N101" si="1">COUNTIF(C67:M67,"FP")</f>
        <v>6</v>
      </c>
    </row>
    <row r="67" spans="1:14" ht="16" x14ac:dyDescent="0.2">
      <c r="A67" s="22" t="s">
        <v>424</v>
      </c>
      <c r="B67" s="31" t="s">
        <v>541</v>
      </c>
      <c r="C67" s="32" t="s">
        <v>299</v>
      </c>
      <c r="D67" s="32" t="s">
        <v>299</v>
      </c>
      <c r="E67" s="32" t="s">
        <v>299</v>
      </c>
      <c r="F67" s="32" t="s">
        <v>299</v>
      </c>
      <c r="L67" s="32" t="s">
        <v>299</v>
      </c>
      <c r="M67" s="32" t="s">
        <v>299</v>
      </c>
      <c r="N67" s="22">
        <f t="shared" si="1"/>
        <v>7</v>
      </c>
    </row>
    <row r="68" spans="1:14" ht="16" x14ac:dyDescent="0.2">
      <c r="A68" s="22" t="s">
        <v>426</v>
      </c>
      <c r="B68" s="31" t="s">
        <v>542</v>
      </c>
      <c r="C68" s="32" t="s">
        <v>299</v>
      </c>
      <c r="D68" s="32" t="s">
        <v>299</v>
      </c>
      <c r="E68" s="32" t="s">
        <v>299</v>
      </c>
      <c r="F68" s="32" t="s">
        <v>299</v>
      </c>
      <c r="G68" s="32" t="s">
        <v>299</v>
      </c>
      <c r="I68" s="32" t="s">
        <v>299</v>
      </c>
      <c r="L68" s="32" t="s">
        <v>299</v>
      </c>
      <c r="N68" s="22">
        <f t="shared" si="1"/>
        <v>8</v>
      </c>
    </row>
    <row r="69" spans="1:14" ht="16" x14ac:dyDescent="0.2">
      <c r="A69" s="22" t="s">
        <v>427</v>
      </c>
      <c r="B69" s="31" t="s">
        <v>428</v>
      </c>
      <c r="C69" s="32" t="s">
        <v>299</v>
      </c>
      <c r="D69" s="32" t="s">
        <v>299</v>
      </c>
      <c r="E69" s="32" t="s">
        <v>299</v>
      </c>
      <c r="F69" s="32" t="s">
        <v>299</v>
      </c>
      <c r="G69" s="32" t="s">
        <v>299</v>
      </c>
      <c r="K69" s="32" t="s">
        <v>299</v>
      </c>
      <c r="L69" s="32" t="s">
        <v>299</v>
      </c>
      <c r="M69" s="32" t="s">
        <v>299</v>
      </c>
      <c r="N69" s="22">
        <f t="shared" si="1"/>
        <v>0</v>
      </c>
    </row>
    <row r="70" spans="1:14" ht="16" x14ac:dyDescent="0.2">
      <c r="A70" s="22" t="s">
        <v>429</v>
      </c>
      <c r="B70" s="31" t="s">
        <v>543</v>
      </c>
      <c r="N70" s="22">
        <f t="shared" si="1"/>
        <v>7</v>
      </c>
    </row>
    <row r="71" spans="1:14" ht="16" x14ac:dyDescent="0.2">
      <c r="A71" s="22" t="s">
        <v>431</v>
      </c>
      <c r="B71" s="31" t="s">
        <v>432</v>
      </c>
      <c r="C71" s="32" t="s">
        <v>299</v>
      </c>
      <c r="D71" s="32" t="s">
        <v>299</v>
      </c>
      <c r="E71" s="32" t="s">
        <v>299</v>
      </c>
      <c r="F71" s="32" t="s">
        <v>299</v>
      </c>
      <c r="G71" s="32" t="s">
        <v>299</v>
      </c>
      <c r="L71" s="32" t="s">
        <v>299</v>
      </c>
      <c r="M71" s="32" t="s">
        <v>299</v>
      </c>
      <c r="N71" s="22">
        <f t="shared" si="1"/>
        <v>7</v>
      </c>
    </row>
    <row r="72" spans="1:14" ht="16" x14ac:dyDescent="0.2">
      <c r="A72" s="22" t="s">
        <v>433</v>
      </c>
      <c r="B72" s="31" t="s">
        <v>544</v>
      </c>
      <c r="C72" s="32" t="s">
        <v>299</v>
      </c>
      <c r="D72" s="32" t="s">
        <v>299</v>
      </c>
      <c r="E72" s="32" t="s">
        <v>299</v>
      </c>
      <c r="F72" s="32" t="s">
        <v>299</v>
      </c>
      <c r="G72" s="32" t="s">
        <v>299</v>
      </c>
      <c r="K72" s="32" t="s">
        <v>299</v>
      </c>
      <c r="L72" s="32" t="s">
        <v>299</v>
      </c>
      <c r="N72" s="22">
        <f t="shared" si="1"/>
        <v>3</v>
      </c>
    </row>
    <row r="73" spans="1:14" ht="16" x14ac:dyDescent="0.2">
      <c r="A73" s="22" t="s">
        <v>435</v>
      </c>
      <c r="B73" s="31" t="s">
        <v>436</v>
      </c>
      <c r="C73" s="32" t="s">
        <v>299</v>
      </c>
      <c r="D73" s="32" t="s">
        <v>299</v>
      </c>
      <c r="L73" s="32" t="s">
        <v>299</v>
      </c>
      <c r="N73" s="22">
        <f t="shared" si="1"/>
        <v>5</v>
      </c>
    </row>
    <row r="74" spans="1:14" ht="16" x14ac:dyDescent="0.2">
      <c r="A74" s="22" t="s">
        <v>437</v>
      </c>
      <c r="B74" s="31" t="s">
        <v>438</v>
      </c>
      <c r="C74" s="32" t="s">
        <v>299</v>
      </c>
      <c r="D74" s="32" t="s">
        <v>299</v>
      </c>
      <c r="E74" s="32" t="s">
        <v>299</v>
      </c>
      <c r="F74" s="32" t="s">
        <v>299</v>
      </c>
      <c r="L74" s="32" t="s">
        <v>299</v>
      </c>
      <c r="N74" s="22">
        <f t="shared" si="1"/>
        <v>5</v>
      </c>
    </row>
    <row r="75" spans="1:14" ht="16" x14ac:dyDescent="0.2">
      <c r="A75" s="22" t="s">
        <v>439</v>
      </c>
      <c r="B75" s="31" t="s">
        <v>440</v>
      </c>
      <c r="C75" s="32" t="s">
        <v>299</v>
      </c>
      <c r="D75" s="32" t="s">
        <v>299</v>
      </c>
      <c r="E75" s="32" t="s">
        <v>299</v>
      </c>
      <c r="F75" s="32" t="s">
        <v>299</v>
      </c>
      <c r="L75" s="32" t="s">
        <v>299</v>
      </c>
      <c r="N75" s="22">
        <f t="shared" si="1"/>
        <v>0</v>
      </c>
    </row>
    <row r="76" spans="1:14" ht="16" x14ac:dyDescent="0.2">
      <c r="A76" s="22" t="s">
        <v>441</v>
      </c>
      <c r="B76" s="31" t="s">
        <v>376</v>
      </c>
      <c r="N76" s="22">
        <f t="shared" si="1"/>
        <v>0</v>
      </c>
    </row>
    <row r="77" spans="1:14" ht="16" x14ac:dyDescent="0.2">
      <c r="A77" s="22" t="s">
        <v>442</v>
      </c>
      <c r="B77" s="31" t="s">
        <v>434</v>
      </c>
      <c r="N77" s="22">
        <f t="shared" si="1"/>
        <v>4</v>
      </c>
    </row>
    <row r="78" spans="1:14" ht="16" x14ac:dyDescent="0.2">
      <c r="A78" s="22" t="s">
        <v>444</v>
      </c>
      <c r="B78" s="31" t="s">
        <v>445</v>
      </c>
      <c r="C78" s="32" t="s">
        <v>299</v>
      </c>
      <c r="E78" s="32" t="s">
        <v>299</v>
      </c>
      <c r="F78" s="32" t="s">
        <v>299</v>
      </c>
      <c r="L78" s="32" t="s">
        <v>299</v>
      </c>
      <c r="N78" s="22">
        <f t="shared" si="1"/>
        <v>0</v>
      </c>
    </row>
    <row r="79" spans="1:14" ht="16" x14ac:dyDescent="0.2">
      <c r="A79" s="22" t="s">
        <v>446</v>
      </c>
      <c r="B79" s="31" t="s">
        <v>447</v>
      </c>
      <c r="N79" s="22">
        <f t="shared" si="1"/>
        <v>0</v>
      </c>
    </row>
    <row r="80" spans="1:14" ht="16" x14ac:dyDescent="0.2">
      <c r="A80" s="22" t="s">
        <v>448</v>
      </c>
      <c r="B80" s="31" t="s">
        <v>449</v>
      </c>
      <c r="N80" s="22">
        <f t="shared" si="1"/>
        <v>0</v>
      </c>
    </row>
    <row r="81" spans="1:14" ht="16" x14ac:dyDescent="0.2">
      <c r="A81" s="22" t="s">
        <v>450</v>
      </c>
      <c r="B81" s="31" t="s">
        <v>451</v>
      </c>
      <c r="N81" s="22">
        <f t="shared" si="1"/>
        <v>6</v>
      </c>
    </row>
    <row r="82" spans="1:14" ht="16" x14ac:dyDescent="0.2">
      <c r="A82" s="22" t="s">
        <v>452</v>
      </c>
      <c r="B82" s="31" t="s">
        <v>518</v>
      </c>
      <c r="C82" s="32" t="s">
        <v>299</v>
      </c>
      <c r="D82" s="32" t="s">
        <v>299</v>
      </c>
      <c r="E82" s="32" t="s">
        <v>299</v>
      </c>
      <c r="F82" s="32" t="s">
        <v>299</v>
      </c>
      <c r="K82" s="32" t="s">
        <v>299</v>
      </c>
      <c r="L82" s="32" t="s">
        <v>299</v>
      </c>
      <c r="N82" s="22">
        <f t="shared" si="1"/>
        <v>4</v>
      </c>
    </row>
    <row r="83" spans="1:14" ht="16" x14ac:dyDescent="0.2">
      <c r="A83" s="22" t="s">
        <v>454</v>
      </c>
      <c r="B83" s="31" t="s">
        <v>455</v>
      </c>
      <c r="C83" s="32" t="s">
        <v>299</v>
      </c>
      <c r="E83" s="32" t="s">
        <v>299</v>
      </c>
      <c r="F83" s="32" t="s">
        <v>299</v>
      </c>
      <c r="L83" s="32" t="s">
        <v>299</v>
      </c>
      <c r="N83" s="22">
        <f t="shared" si="1"/>
        <v>6</v>
      </c>
    </row>
    <row r="84" spans="1:14" ht="16" x14ac:dyDescent="0.2">
      <c r="A84" s="22" t="s">
        <v>456</v>
      </c>
      <c r="B84" s="31" t="s">
        <v>457</v>
      </c>
      <c r="C84" s="32" t="s">
        <v>299</v>
      </c>
      <c r="D84" s="32" t="s">
        <v>299</v>
      </c>
      <c r="E84" s="32" t="s">
        <v>299</v>
      </c>
      <c r="F84" s="32" t="s">
        <v>299</v>
      </c>
      <c r="K84" s="32" t="s">
        <v>299</v>
      </c>
      <c r="L84" s="32" t="s">
        <v>299</v>
      </c>
      <c r="N84" s="22">
        <f t="shared" si="1"/>
        <v>3</v>
      </c>
    </row>
    <row r="85" spans="1:14" ht="16" x14ac:dyDescent="0.2">
      <c r="A85" s="22" t="s">
        <v>458</v>
      </c>
      <c r="B85" s="31" t="s">
        <v>459</v>
      </c>
      <c r="C85" s="32" t="s">
        <v>299</v>
      </c>
      <c r="D85" s="32" t="s">
        <v>299</v>
      </c>
      <c r="L85" s="32" t="s">
        <v>299</v>
      </c>
      <c r="N85" s="22">
        <f t="shared" si="1"/>
        <v>5</v>
      </c>
    </row>
    <row r="86" spans="1:14" ht="16" x14ac:dyDescent="0.2">
      <c r="A86" s="22" t="s">
        <v>460</v>
      </c>
      <c r="B86" s="31" t="s">
        <v>461</v>
      </c>
      <c r="C86" s="32" t="s">
        <v>299</v>
      </c>
      <c r="D86" s="32" t="s">
        <v>299</v>
      </c>
      <c r="E86" s="32" t="s">
        <v>299</v>
      </c>
      <c r="F86" s="32" t="s">
        <v>299</v>
      </c>
      <c r="L86" s="32" t="s">
        <v>299</v>
      </c>
      <c r="N86" s="22">
        <f t="shared" si="1"/>
        <v>8</v>
      </c>
    </row>
    <row r="87" spans="1:14" ht="16" x14ac:dyDescent="0.2">
      <c r="A87" s="22" t="s">
        <v>462</v>
      </c>
      <c r="B87" s="31" t="s">
        <v>463</v>
      </c>
      <c r="C87" s="32" t="s">
        <v>299</v>
      </c>
      <c r="D87" s="32" t="s">
        <v>299</v>
      </c>
      <c r="E87" s="32" t="s">
        <v>299</v>
      </c>
      <c r="F87" s="32" t="s">
        <v>299</v>
      </c>
      <c r="I87" s="32" t="s">
        <v>299</v>
      </c>
      <c r="J87" s="32" t="s">
        <v>299</v>
      </c>
      <c r="K87" s="32" t="s">
        <v>299</v>
      </c>
      <c r="L87" s="32" t="s">
        <v>299</v>
      </c>
      <c r="N87" s="22">
        <f t="shared" si="1"/>
        <v>7</v>
      </c>
    </row>
    <row r="88" spans="1:14" ht="16" x14ac:dyDescent="0.2">
      <c r="A88" s="22" t="s">
        <v>464</v>
      </c>
      <c r="B88" s="31" t="s">
        <v>465</v>
      </c>
      <c r="C88" s="32" t="s">
        <v>299</v>
      </c>
      <c r="D88" s="32" t="s">
        <v>299</v>
      </c>
      <c r="E88" s="32" t="s">
        <v>299</v>
      </c>
      <c r="F88" s="32" t="s">
        <v>299</v>
      </c>
      <c r="G88" s="32" t="s">
        <v>299</v>
      </c>
      <c r="L88" s="32" t="s">
        <v>299</v>
      </c>
      <c r="M88" s="32" t="s">
        <v>299</v>
      </c>
      <c r="N88" s="22">
        <f t="shared" si="1"/>
        <v>4</v>
      </c>
    </row>
    <row r="89" spans="1:14" ht="16" x14ac:dyDescent="0.2">
      <c r="A89" s="22" t="s">
        <v>466</v>
      </c>
      <c r="B89" s="31" t="s">
        <v>519</v>
      </c>
      <c r="C89" s="32" t="s">
        <v>299</v>
      </c>
      <c r="E89" s="32" t="s">
        <v>299</v>
      </c>
      <c r="F89" s="32" t="s">
        <v>299</v>
      </c>
      <c r="L89" s="32" t="s">
        <v>299</v>
      </c>
      <c r="N89" s="22">
        <f t="shared" si="1"/>
        <v>0</v>
      </c>
    </row>
    <row r="90" spans="1:14" ht="16" x14ac:dyDescent="0.2">
      <c r="A90" s="22" t="s">
        <v>468</v>
      </c>
      <c r="B90" s="31" t="s">
        <v>315</v>
      </c>
      <c r="N90" s="22">
        <f t="shared" si="1"/>
        <v>8</v>
      </c>
    </row>
    <row r="91" spans="1:14" ht="16" x14ac:dyDescent="0.2">
      <c r="A91" s="22" t="s">
        <v>469</v>
      </c>
      <c r="B91" s="31" t="s">
        <v>470</v>
      </c>
      <c r="C91" s="32" t="s">
        <v>299</v>
      </c>
      <c r="D91" s="32" t="s">
        <v>299</v>
      </c>
      <c r="E91" s="32" t="s">
        <v>299</v>
      </c>
      <c r="F91" s="32" t="s">
        <v>299</v>
      </c>
      <c r="G91" s="32" t="s">
        <v>299</v>
      </c>
      <c r="K91" s="32" t="s">
        <v>299</v>
      </c>
      <c r="L91" s="32" t="s">
        <v>299</v>
      </c>
      <c r="M91" s="32" t="s">
        <v>299</v>
      </c>
      <c r="N91" s="22">
        <f t="shared" si="1"/>
        <v>9</v>
      </c>
    </row>
    <row r="92" spans="1:14" ht="16" x14ac:dyDescent="0.2">
      <c r="A92" s="22" t="s">
        <v>471</v>
      </c>
      <c r="B92" s="31" t="s">
        <v>472</v>
      </c>
      <c r="C92" s="32" t="s">
        <v>299</v>
      </c>
      <c r="D92" s="32" t="s">
        <v>299</v>
      </c>
      <c r="E92" s="32" t="s">
        <v>299</v>
      </c>
      <c r="F92" s="32" t="s">
        <v>299</v>
      </c>
      <c r="G92" s="32" t="s">
        <v>299</v>
      </c>
      <c r="H92" s="32" t="s">
        <v>299</v>
      </c>
      <c r="I92" s="32" t="s">
        <v>299</v>
      </c>
      <c r="L92" s="32" t="s">
        <v>299</v>
      </c>
      <c r="M92" s="32" t="s">
        <v>299</v>
      </c>
      <c r="N92" s="22">
        <f t="shared" si="1"/>
        <v>8</v>
      </c>
    </row>
    <row r="93" spans="1:14" ht="16" x14ac:dyDescent="0.2">
      <c r="A93" s="22" t="s">
        <v>473</v>
      </c>
      <c r="B93" s="31" t="s">
        <v>474</v>
      </c>
      <c r="C93" s="32" t="s">
        <v>299</v>
      </c>
      <c r="D93" s="32" t="s">
        <v>299</v>
      </c>
      <c r="E93" s="32" t="s">
        <v>299</v>
      </c>
      <c r="F93" s="32" t="s">
        <v>299</v>
      </c>
      <c r="G93" s="32" t="s">
        <v>299</v>
      </c>
      <c r="K93" s="32" t="s">
        <v>299</v>
      </c>
      <c r="L93" s="32" t="s">
        <v>299</v>
      </c>
      <c r="M93" s="32" t="s">
        <v>299</v>
      </c>
      <c r="N93" s="22">
        <f t="shared" si="1"/>
        <v>6</v>
      </c>
    </row>
    <row r="94" spans="1:14" ht="16" x14ac:dyDescent="0.2">
      <c r="A94" s="22" t="s">
        <v>475</v>
      </c>
      <c r="B94" s="31" t="s">
        <v>520</v>
      </c>
      <c r="C94" s="32" t="s">
        <v>299</v>
      </c>
      <c r="D94" s="32" t="s">
        <v>299</v>
      </c>
      <c r="E94" s="32" t="s">
        <v>299</v>
      </c>
      <c r="F94" s="32" t="s">
        <v>299</v>
      </c>
      <c r="K94" s="32" t="s">
        <v>299</v>
      </c>
      <c r="L94" s="32" t="s">
        <v>299</v>
      </c>
      <c r="N94" s="22">
        <f t="shared" si="1"/>
        <v>0</v>
      </c>
    </row>
    <row r="95" spans="1:14" ht="16" x14ac:dyDescent="0.2">
      <c r="A95" s="22" t="s">
        <v>477</v>
      </c>
      <c r="B95" s="31" t="s">
        <v>478</v>
      </c>
      <c r="N95" s="22">
        <f t="shared" si="1"/>
        <v>0</v>
      </c>
    </row>
    <row r="96" spans="1:14" ht="16" x14ac:dyDescent="0.2">
      <c r="A96" s="22" t="s">
        <v>479</v>
      </c>
      <c r="B96" s="31" t="s">
        <v>521</v>
      </c>
      <c r="N96" s="22">
        <f t="shared" si="1"/>
        <v>4</v>
      </c>
    </row>
    <row r="97" spans="1:14" ht="16" x14ac:dyDescent="0.2">
      <c r="A97" s="22" t="s">
        <v>481</v>
      </c>
      <c r="B97" s="31" t="s">
        <v>545</v>
      </c>
      <c r="C97" s="32" t="s">
        <v>299</v>
      </c>
      <c r="E97" s="32" t="s">
        <v>299</v>
      </c>
      <c r="F97" s="32" t="s">
        <v>299</v>
      </c>
      <c r="L97" s="32" t="s">
        <v>299</v>
      </c>
      <c r="N97" s="22">
        <f t="shared" si="1"/>
        <v>6</v>
      </c>
    </row>
    <row r="98" spans="1:14" ht="16" x14ac:dyDescent="0.2">
      <c r="A98" s="22" t="s">
        <v>483</v>
      </c>
      <c r="B98" s="31" t="s">
        <v>484</v>
      </c>
      <c r="C98" s="32" t="s">
        <v>299</v>
      </c>
      <c r="D98" s="32" t="s">
        <v>299</v>
      </c>
      <c r="E98" s="32" t="s">
        <v>299</v>
      </c>
      <c r="F98" s="32" t="s">
        <v>299</v>
      </c>
      <c r="K98" s="32" t="s">
        <v>299</v>
      </c>
      <c r="L98" s="32" t="s">
        <v>299</v>
      </c>
      <c r="N98" s="22">
        <f t="shared" si="1"/>
        <v>5</v>
      </c>
    </row>
    <row r="99" spans="1:14" ht="16" x14ac:dyDescent="0.2">
      <c r="A99" s="22" t="s">
        <v>485</v>
      </c>
      <c r="B99" s="31" t="s">
        <v>96</v>
      </c>
      <c r="C99" s="32" t="s">
        <v>299</v>
      </c>
      <c r="D99" s="32" t="s">
        <v>299</v>
      </c>
      <c r="E99" s="32" t="s">
        <v>299</v>
      </c>
      <c r="F99" s="32" t="s">
        <v>299</v>
      </c>
      <c r="L99" s="32" t="s">
        <v>299</v>
      </c>
      <c r="N99" s="22">
        <f t="shared" si="1"/>
        <v>6</v>
      </c>
    </row>
    <row r="100" spans="1:14" ht="16" x14ac:dyDescent="0.2">
      <c r="A100" s="22" t="s">
        <v>486</v>
      </c>
      <c r="B100" s="31" t="s">
        <v>487</v>
      </c>
      <c r="C100" s="32" t="s">
        <v>299</v>
      </c>
      <c r="D100" s="32" t="s">
        <v>299</v>
      </c>
      <c r="E100" s="32" t="s">
        <v>299</v>
      </c>
      <c r="F100" s="32" t="s">
        <v>299</v>
      </c>
      <c r="L100" s="32" t="s">
        <v>299</v>
      </c>
      <c r="M100" s="32" t="s">
        <v>299</v>
      </c>
      <c r="N100" s="22">
        <f t="shared" si="1"/>
        <v>6</v>
      </c>
    </row>
    <row r="101" spans="1:14" ht="16" x14ac:dyDescent="0.2">
      <c r="A101" s="22" t="s">
        <v>488</v>
      </c>
      <c r="B101" s="31" t="s">
        <v>489</v>
      </c>
      <c r="C101" s="32" t="s">
        <v>299</v>
      </c>
      <c r="D101" s="32" t="s">
        <v>299</v>
      </c>
      <c r="E101" s="32" t="s">
        <v>299</v>
      </c>
      <c r="F101" s="32" t="s">
        <v>299</v>
      </c>
      <c r="L101" s="32" t="s">
        <v>299</v>
      </c>
      <c r="M101" s="32" t="s">
        <v>299</v>
      </c>
      <c r="N101" s="22">
        <f t="shared" si="1"/>
        <v>0</v>
      </c>
    </row>
    <row r="102" spans="1:14" ht="16" x14ac:dyDescent="0.2">
      <c r="B102" s="31" t="s">
        <v>523</v>
      </c>
      <c r="C102" s="22">
        <f t="shared" ref="C102:M102" si="2">COUNTIF(C2:C101, "FP")</f>
        <v>79</v>
      </c>
      <c r="D102" s="22">
        <f t="shared" si="2"/>
        <v>66</v>
      </c>
      <c r="E102" s="22">
        <f t="shared" si="2"/>
        <v>62</v>
      </c>
      <c r="F102" s="22">
        <f t="shared" si="2"/>
        <v>69</v>
      </c>
      <c r="G102" s="22">
        <f t="shared" si="2"/>
        <v>20</v>
      </c>
      <c r="H102" s="22">
        <f t="shared" si="2"/>
        <v>7</v>
      </c>
      <c r="I102" s="22">
        <f t="shared" si="2"/>
        <v>12</v>
      </c>
      <c r="J102" s="22">
        <f t="shared" si="2"/>
        <v>1</v>
      </c>
      <c r="K102" s="22">
        <f t="shared" si="2"/>
        <v>28</v>
      </c>
      <c r="L102" s="22">
        <f t="shared" si="2"/>
        <v>75</v>
      </c>
      <c r="M102" s="22">
        <f t="shared" si="2"/>
        <v>25</v>
      </c>
      <c r="N102" s="22">
        <f>SUM(N2:N101)/100</f>
        <v>4.38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43C2-BB02-6E41-8CCB-2605EC37A3CC}">
  <dimension ref="A1:U102"/>
  <sheetViews>
    <sheetView workbookViewId="0">
      <pane xSplit="5" ySplit="1" topLeftCell="U70" activePane="bottomRight" state="frozen"/>
      <selection pane="topRight"/>
      <selection pane="bottomLeft"/>
      <selection pane="bottomRight" activeCell="E102" sqref="E102"/>
    </sheetView>
  </sheetViews>
  <sheetFormatPr baseColWidth="10" defaultColWidth="8.83203125" defaultRowHeight="15" x14ac:dyDescent="0.2"/>
  <cols>
    <col min="1" max="1" width="10" style="22" customWidth="1"/>
    <col min="2" max="2" width="28" style="22" customWidth="1"/>
    <col min="3" max="3" width="34" style="22" customWidth="1"/>
    <col min="4" max="4" width="40" style="22" customWidth="1"/>
    <col min="5" max="5" width="12" style="22" customWidth="1"/>
    <col min="6" max="20" width="18" style="22" customWidth="1"/>
    <col min="21" max="16384" width="8.83203125" style="22"/>
  </cols>
  <sheetData>
    <row r="1" spans="1:21" x14ac:dyDescent="0.2">
      <c r="A1" s="20" t="s">
        <v>294</v>
      </c>
      <c r="B1" s="20" t="s">
        <v>295</v>
      </c>
      <c r="C1" s="20" t="s">
        <v>651</v>
      </c>
      <c r="D1" s="20" t="s">
        <v>650</v>
      </c>
      <c r="E1" s="20" t="s">
        <v>649</v>
      </c>
      <c r="F1" s="20" t="s">
        <v>138</v>
      </c>
      <c r="G1" s="20" t="s">
        <v>139</v>
      </c>
      <c r="H1" s="20" t="s">
        <v>140</v>
      </c>
      <c r="I1" s="20" t="s">
        <v>141</v>
      </c>
      <c r="J1" s="20" t="s">
        <v>142</v>
      </c>
      <c r="K1" s="20" t="s">
        <v>143</v>
      </c>
      <c r="L1" s="20" t="s">
        <v>144</v>
      </c>
      <c r="M1" s="20" t="s">
        <v>145</v>
      </c>
      <c r="N1" s="20" t="s">
        <v>146</v>
      </c>
      <c r="O1" s="20" t="s">
        <v>147</v>
      </c>
      <c r="P1" s="20" t="s">
        <v>148</v>
      </c>
      <c r="Q1" s="20" t="s">
        <v>149</v>
      </c>
      <c r="R1" s="20" t="s">
        <v>150</v>
      </c>
      <c r="S1" s="20" t="s">
        <v>151</v>
      </c>
      <c r="T1" s="20" t="s">
        <v>152</v>
      </c>
      <c r="U1" s="34" t="s">
        <v>648</v>
      </c>
    </row>
    <row r="2" spans="1:21" x14ac:dyDescent="0.2">
      <c r="A2" s="25" t="s">
        <v>297</v>
      </c>
      <c r="B2" s="26" t="s">
        <v>298</v>
      </c>
      <c r="C2" s="25" t="s">
        <v>647</v>
      </c>
      <c r="D2" s="26"/>
      <c r="E2" s="25" t="s">
        <v>299</v>
      </c>
      <c r="F2" s="25" t="s">
        <v>299</v>
      </c>
      <c r="G2" s="25" t="s">
        <v>299</v>
      </c>
      <c r="H2" s="25" t="s">
        <v>299</v>
      </c>
      <c r="I2" s="25" t="s">
        <v>299</v>
      </c>
      <c r="J2" s="25" t="s">
        <v>299</v>
      </c>
      <c r="K2" s="25"/>
      <c r="L2" s="25"/>
      <c r="M2" s="25" t="s">
        <v>299</v>
      </c>
      <c r="N2" s="25"/>
      <c r="O2" s="25" t="s">
        <v>299</v>
      </c>
      <c r="P2" s="25" t="s">
        <v>299</v>
      </c>
      <c r="Q2" s="25"/>
      <c r="R2" s="25"/>
      <c r="S2" s="25"/>
      <c r="T2" s="25"/>
      <c r="U2" s="22">
        <f>COUNTIF(F2:T2, "FP")</f>
        <v>8</v>
      </c>
    </row>
    <row r="3" spans="1:21" x14ac:dyDescent="0.2">
      <c r="A3" s="25" t="s">
        <v>300</v>
      </c>
      <c r="B3" s="26" t="s">
        <v>301</v>
      </c>
      <c r="C3" s="25" t="s">
        <v>646</v>
      </c>
      <c r="D3" s="26"/>
      <c r="E3" s="25" t="s">
        <v>299</v>
      </c>
      <c r="F3" s="25"/>
      <c r="G3" s="25"/>
      <c r="H3" s="25"/>
      <c r="I3" s="25"/>
      <c r="J3" s="25"/>
      <c r="K3" s="25"/>
      <c r="L3" s="25"/>
      <c r="M3" s="25" t="s">
        <v>299</v>
      </c>
      <c r="N3" s="25"/>
      <c r="O3" s="25"/>
      <c r="P3" s="25"/>
      <c r="Q3" s="25"/>
      <c r="R3" s="25"/>
      <c r="S3" s="25"/>
      <c r="T3" s="25"/>
      <c r="U3" s="22">
        <f>COUNTIF(F3:T3, "FP")</f>
        <v>1</v>
      </c>
    </row>
    <row r="4" spans="1:21" x14ac:dyDescent="0.2">
      <c r="A4" s="25" t="s">
        <v>302</v>
      </c>
      <c r="B4" s="26" t="s">
        <v>303</v>
      </c>
      <c r="C4" s="25" t="s">
        <v>645</v>
      </c>
      <c r="D4" s="26"/>
      <c r="E4" s="25" t="s">
        <v>299</v>
      </c>
      <c r="F4" s="25" t="s">
        <v>299</v>
      </c>
      <c r="G4" s="25" t="s">
        <v>299</v>
      </c>
      <c r="H4" s="25" t="s">
        <v>299</v>
      </c>
      <c r="I4" s="25" t="s">
        <v>299</v>
      </c>
      <c r="J4" s="25" t="s">
        <v>299</v>
      </c>
      <c r="K4" s="25" t="s">
        <v>299</v>
      </c>
      <c r="L4" s="25"/>
      <c r="M4" s="25" t="s">
        <v>299</v>
      </c>
      <c r="N4" s="25" t="s">
        <v>299</v>
      </c>
      <c r="O4" s="25" t="s">
        <v>299</v>
      </c>
      <c r="P4" s="25" t="s">
        <v>299</v>
      </c>
      <c r="Q4" s="25"/>
      <c r="R4" s="25"/>
      <c r="S4" s="25"/>
      <c r="T4" s="25"/>
      <c r="U4" s="22">
        <f>COUNTIF(F4:T4, "FP")</f>
        <v>10</v>
      </c>
    </row>
    <row r="5" spans="1:21" x14ac:dyDescent="0.2">
      <c r="A5" s="25" t="s">
        <v>304</v>
      </c>
      <c r="B5" s="26" t="s">
        <v>305</v>
      </c>
      <c r="C5" s="25" t="s">
        <v>644</v>
      </c>
      <c r="D5" s="26"/>
      <c r="E5" s="25" t="s">
        <v>299</v>
      </c>
      <c r="F5" s="25" t="s">
        <v>299</v>
      </c>
      <c r="G5" s="25" t="s">
        <v>299</v>
      </c>
      <c r="H5" s="25" t="s">
        <v>299</v>
      </c>
      <c r="I5" s="25" t="s">
        <v>299</v>
      </c>
      <c r="J5" s="25"/>
      <c r="K5" s="25"/>
      <c r="L5" s="25"/>
      <c r="M5" s="25" t="s">
        <v>299</v>
      </c>
      <c r="N5" s="25"/>
      <c r="O5" s="25"/>
      <c r="P5" s="25"/>
      <c r="Q5" s="25"/>
      <c r="R5" s="25"/>
      <c r="S5" s="25"/>
      <c r="T5" s="25"/>
      <c r="U5" s="22">
        <f>COUNTIF(F5:T5, "FP")</f>
        <v>5</v>
      </c>
    </row>
    <row r="6" spans="1:21" x14ac:dyDescent="0.2">
      <c r="A6" s="25" t="s">
        <v>306</v>
      </c>
      <c r="B6" s="26" t="s">
        <v>307</v>
      </c>
      <c r="C6" s="25" t="s">
        <v>643</v>
      </c>
      <c r="D6" s="26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2">
        <f>COUNTIF(F6:T6, "FP")</f>
        <v>0</v>
      </c>
    </row>
    <row r="7" spans="1:21" x14ac:dyDescent="0.2">
      <c r="A7" s="25" t="s">
        <v>308</v>
      </c>
      <c r="B7" s="26" t="s">
        <v>309</v>
      </c>
      <c r="C7" s="25" t="s">
        <v>642</v>
      </c>
      <c r="D7" s="26"/>
      <c r="E7" s="25" t="s">
        <v>299</v>
      </c>
      <c r="F7" s="25" t="s">
        <v>299</v>
      </c>
      <c r="G7" s="25"/>
      <c r="H7" s="25" t="s">
        <v>299</v>
      </c>
      <c r="I7" s="25" t="s">
        <v>299</v>
      </c>
      <c r="J7" s="25"/>
      <c r="K7" s="25"/>
      <c r="L7" s="25"/>
      <c r="M7" s="25" t="s">
        <v>299</v>
      </c>
      <c r="N7" s="25"/>
      <c r="O7" s="25"/>
      <c r="P7" s="25"/>
      <c r="Q7" s="25"/>
      <c r="R7" s="25"/>
      <c r="S7" s="25"/>
      <c r="T7" s="25"/>
      <c r="U7" s="22">
        <f>COUNTIF(F7:T7, "FP")</f>
        <v>4</v>
      </c>
    </row>
    <row r="8" spans="1:21" x14ac:dyDescent="0.2">
      <c r="A8" s="25" t="s">
        <v>310</v>
      </c>
      <c r="B8" s="26" t="s">
        <v>311</v>
      </c>
      <c r="C8" s="25" t="s">
        <v>641</v>
      </c>
      <c r="D8" s="26"/>
      <c r="E8" s="25" t="s">
        <v>299</v>
      </c>
      <c r="F8" s="25" t="s">
        <v>299</v>
      </c>
      <c r="G8" s="25"/>
      <c r="H8" s="25" t="s">
        <v>299</v>
      </c>
      <c r="I8" s="25" t="s">
        <v>299</v>
      </c>
      <c r="J8" s="25"/>
      <c r="K8" s="25"/>
      <c r="L8" s="25"/>
      <c r="M8" s="25" t="s">
        <v>299</v>
      </c>
      <c r="N8" s="25" t="s">
        <v>299</v>
      </c>
      <c r="O8" s="25"/>
      <c r="P8" s="25"/>
      <c r="Q8" s="25"/>
      <c r="R8" s="25"/>
      <c r="S8" s="25"/>
      <c r="T8" s="25"/>
      <c r="U8" s="22">
        <f>COUNTIF(F8:T8, "FP")</f>
        <v>5</v>
      </c>
    </row>
    <row r="9" spans="1:21" x14ac:dyDescent="0.2">
      <c r="A9" s="25" t="s">
        <v>312</v>
      </c>
      <c r="B9" s="26" t="s">
        <v>313</v>
      </c>
      <c r="C9" s="25" t="s">
        <v>640</v>
      </c>
      <c r="D9" s="26"/>
      <c r="E9" s="25" t="s">
        <v>299</v>
      </c>
      <c r="F9" s="25" t="s">
        <v>299</v>
      </c>
      <c r="G9" s="25" t="s">
        <v>299</v>
      </c>
      <c r="H9" s="25" t="s">
        <v>299</v>
      </c>
      <c r="I9" s="25" t="s">
        <v>299</v>
      </c>
      <c r="J9" s="25" t="s">
        <v>299</v>
      </c>
      <c r="K9" s="25"/>
      <c r="L9" s="25"/>
      <c r="M9" s="25" t="s">
        <v>299</v>
      </c>
      <c r="N9" s="25" t="s">
        <v>299</v>
      </c>
      <c r="O9" s="25"/>
      <c r="P9" s="25"/>
      <c r="Q9" s="25"/>
      <c r="R9" s="25"/>
      <c r="S9" s="25"/>
      <c r="T9" s="25"/>
      <c r="U9" s="22">
        <f>COUNTIF(F9:T9, "FP")</f>
        <v>7</v>
      </c>
    </row>
    <row r="10" spans="1:21" x14ac:dyDescent="0.2">
      <c r="A10" s="25" t="s">
        <v>314</v>
      </c>
      <c r="B10" s="26" t="s">
        <v>315</v>
      </c>
      <c r="C10" s="25" t="s">
        <v>639</v>
      </c>
      <c r="D10" s="26"/>
      <c r="E10" s="25" t="s">
        <v>299</v>
      </c>
      <c r="F10" s="25" t="s">
        <v>299</v>
      </c>
      <c r="G10" s="25" t="s">
        <v>299</v>
      </c>
      <c r="H10" s="25"/>
      <c r="I10" s="25" t="s">
        <v>299</v>
      </c>
      <c r="J10" s="25" t="s">
        <v>299</v>
      </c>
      <c r="K10" s="25"/>
      <c r="L10" s="25"/>
      <c r="M10" s="25" t="s">
        <v>299</v>
      </c>
      <c r="N10" s="25"/>
      <c r="O10" s="25"/>
      <c r="P10" s="25"/>
      <c r="Q10" s="25"/>
      <c r="R10" s="25"/>
      <c r="S10" s="25"/>
      <c r="T10" s="25"/>
      <c r="U10" s="22">
        <f>COUNTIF(F10:T10, "FP")</f>
        <v>5</v>
      </c>
    </row>
    <row r="11" spans="1:21" x14ac:dyDescent="0.2">
      <c r="A11" s="25" t="s">
        <v>316</v>
      </c>
      <c r="B11" s="26" t="s">
        <v>317</v>
      </c>
      <c r="C11" s="25" t="s">
        <v>638</v>
      </c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2">
        <f>COUNTIF(F11:T11, "FP")</f>
        <v>0</v>
      </c>
    </row>
    <row r="12" spans="1:21" x14ac:dyDescent="0.2">
      <c r="A12" s="25" t="s">
        <v>318</v>
      </c>
      <c r="B12" s="26" t="s">
        <v>319</v>
      </c>
      <c r="C12" s="25" t="s">
        <v>637</v>
      </c>
      <c r="D12" s="26"/>
      <c r="E12" s="25" t="s">
        <v>299</v>
      </c>
      <c r="F12" s="25" t="s">
        <v>299</v>
      </c>
      <c r="G12" s="25"/>
      <c r="H12" s="25" t="s">
        <v>299</v>
      </c>
      <c r="I12" s="25"/>
      <c r="J12" s="25"/>
      <c r="K12" s="25"/>
      <c r="L12" s="25"/>
      <c r="M12" s="25" t="s">
        <v>299</v>
      </c>
      <c r="N12" s="25"/>
      <c r="O12" s="25"/>
      <c r="P12" s="25"/>
      <c r="Q12" s="25"/>
      <c r="R12" s="25" t="s">
        <v>299</v>
      </c>
      <c r="S12" s="25"/>
      <c r="T12" s="25"/>
      <c r="U12" s="22">
        <f>COUNTIF(F12:T12, "FP")</f>
        <v>4</v>
      </c>
    </row>
    <row r="13" spans="1:21" x14ac:dyDescent="0.2">
      <c r="A13" s="25" t="s">
        <v>320</v>
      </c>
      <c r="B13" s="26" t="s">
        <v>321</v>
      </c>
      <c r="C13" s="25" t="s">
        <v>636</v>
      </c>
      <c r="D13" s="26"/>
      <c r="E13" s="25" t="s">
        <v>299</v>
      </c>
      <c r="F13" s="25" t="s">
        <v>299</v>
      </c>
      <c r="G13" s="25"/>
      <c r="H13" s="25" t="s">
        <v>299</v>
      </c>
      <c r="I13" s="25" t="s">
        <v>299</v>
      </c>
      <c r="J13" s="25" t="s">
        <v>299</v>
      </c>
      <c r="K13" s="25"/>
      <c r="L13" s="25"/>
      <c r="M13" s="25" t="s">
        <v>299</v>
      </c>
      <c r="N13" s="25"/>
      <c r="O13" s="25"/>
      <c r="P13" s="25"/>
      <c r="Q13" s="25"/>
      <c r="R13" s="25"/>
      <c r="S13" s="25"/>
      <c r="T13" s="25"/>
      <c r="U13" s="22">
        <f>COUNTIF(F13:T13, "FP")</f>
        <v>5</v>
      </c>
    </row>
    <row r="14" spans="1:21" x14ac:dyDescent="0.2">
      <c r="A14" s="25" t="s">
        <v>322</v>
      </c>
      <c r="B14" s="26" t="s">
        <v>323</v>
      </c>
      <c r="C14" s="25" t="s">
        <v>635</v>
      </c>
      <c r="D14" s="26"/>
      <c r="E14" s="25" t="s">
        <v>299</v>
      </c>
      <c r="F14" s="25" t="s">
        <v>299</v>
      </c>
      <c r="G14" s="25" t="s">
        <v>299</v>
      </c>
      <c r="H14" s="25" t="s">
        <v>299</v>
      </c>
      <c r="I14" s="25" t="s">
        <v>299</v>
      </c>
      <c r="J14" s="25"/>
      <c r="K14" s="25"/>
      <c r="L14" s="25"/>
      <c r="M14" s="25" t="s">
        <v>299</v>
      </c>
      <c r="N14" s="25"/>
      <c r="O14" s="25" t="s">
        <v>299</v>
      </c>
      <c r="P14" s="25"/>
      <c r="Q14" s="25"/>
      <c r="R14" s="25"/>
      <c r="S14" s="25"/>
      <c r="T14" s="25"/>
      <c r="U14" s="22">
        <f>COUNTIF(F14:T14, "FP")</f>
        <v>6</v>
      </c>
    </row>
    <row r="15" spans="1:21" x14ac:dyDescent="0.2">
      <c r="A15" s="25" t="s">
        <v>324</v>
      </c>
      <c r="B15" s="26" t="s">
        <v>325</v>
      </c>
      <c r="C15" s="25" t="s">
        <v>634</v>
      </c>
      <c r="D15" s="26"/>
      <c r="E15" s="25" t="s">
        <v>299</v>
      </c>
      <c r="F15" s="25" t="s">
        <v>299</v>
      </c>
      <c r="G15" s="25"/>
      <c r="H15" s="25"/>
      <c r="I15" s="25" t="s">
        <v>299</v>
      </c>
      <c r="J15" s="25" t="s">
        <v>299</v>
      </c>
      <c r="K15" s="25"/>
      <c r="L15" s="25"/>
      <c r="M15" s="25" t="s">
        <v>299</v>
      </c>
      <c r="N15" s="25" t="s">
        <v>299</v>
      </c>
      <c r="O15" s="25" t="s">
        <v>299</v>
      </c>
      <c r="P15" s="25"/>
      <c r="Q15" s="25"/>
      <c r="R15" s="25"/>
      <c r="S15" s="25"/>
      <c r="T15" s="25"/>
      <c r="U15" s="22">
        <f>COUNTIF(F15:T15, "FP")</f>
        <v>6</v>
      </c>
    </row>
    <row r="16" spans="1:21" x14ac:dyDescent="0.2">
      <c r="A16" s="25" t="s">
        <v>326</v>
      </c>
      <c r="B16" s="26" t="s">
        <v>327</v>
      </c>
      <c r="C16" s="25" t="s">
        <v>633</v>
      </c>
      <c r="D16" s="26"/>
      <c r="E16" s="25" t="s">
        <v>299</v>
      </c>
      <c r="F16" s="25" t="s">
        <v>299</v>
      </c>
      <c r="G16" s="25"/>
      <c r="H16" s="25" t="s">
        <v>299</v>
      </c>
      <c r="I16" s="25" t="s">
        <v>299</v>
      </c>
      <c r="J16" s="25"/>
      <c r="K16" s="25"/>
      <c r="L16" s="25"/>
      <c r="M16" s="25" t="s">
        <v>299</v>
      </c>
      <c r="N16" s="25"/>
      <c r="O16" s="25"/>
      <c r="P16" s="25"/>
      <c r="Q16" s="25"/>
      <c r="R16" s="25"/>
      <c r="S16" s="25"/>
      <c r="T16" s="25"/>
      <c r="U16" s="22">
        <f>COUNTIF(F16:T16, "FP")</f>
        <v>4</v>
      </c>
    </row>
    <row r="17" spans="1:21" x14ac:dyDescent="0.2">
      <c r="A17" s="25" t="s">
        <v>328</v>
      </c>
      <c r="B17" s="26" t="s">
        <v>329</v>
      </c>
      <c r="C17" s="25" t="s">
        <v>632</v>
      </c>
      <c r="D17" s="26"/>
      <c r="E17" s="25" t="s">
        <v>299</v>
      </c>
      <c r="F17" s="25" t="s">
        <v>299</v>
      </c>
      <c r="G17" s="25" t="s">
        <v>299</v>
      </c>
      <c r="H17" s="25" t="s">
        <v>299</v>
      </c>
      <c r="I17" s="25" t="s">
        <v>299</v>
      </c>
      <c r="J17" s="25" t="s">
        <v>299</v>
      </c>
      <c r="K17" s="25"/>
      <c r="L17" s="25"/>
      <c r="M17" s="25" t="s">
        <v>299</v>
      </c>
      <c r="N17" s="25"/>
      <c r="O17" s="25"/>
      <c r="P17" s="25"/>
      <c r="Q17" s="25"/>
      <c r="R17" s="25"/>
      <c r="S17" s="25"/>
      <c r="T17" s="25"/>
      <c r="U17" s="22">
        <f>COUNTIF(F17:T17, "FP")</f>
        <v>6</v>
      </c>
    </row>
    <row r="18" spans="1:21" x14ac:dyDescent="0.2">
      <c r="A18" s="25" t="s">
        <v>330</v>
      </c>
      <c r="B18" s="26" t="s">
        <v>331</v>
      </c>
      <c r="C18" s="25" t="s">
        <v>631</v>
      </c>
      <c r="D18" s="26"/>
      <c r="E18" s="25" t="s">
        <v>299</v>
      </c>
      <c r="F18" s="25" t="s">
        <v>299</v>
      </c>
      <c r="G18" s="25" t="s">
        <v>299</v>
      </c>
      <c r="H18" s="25" t="s">
        <v>299</v>
      </c>
      <c r="I18" s="25" t="s">
        <v>299</v>
      </c>
      <c r="J18" s="25" t="s">
        <v>299</v>
      </c>
      <c r="K18" s="25"/>
      <c r="L18" s="25"/>
      <c r="M18" s="25" t="s">
        <v>299</v>
      </c>
      <c r="N18" s="25"/>
      <c r="O18" s="25"/>
      <c r="P18" s="25"/>
      <c r="Q18" s="25"/>
      <c r="R18" s="25"/>
      <c r="S18" s="25"/>
      <c r="T18" s="25"/>
      <c r="U18" s="22">
        <f>COUNTIF(F18:T18, "FP")</f>
        <v>6</v>
      </c>
    </row>
    <row r="19" spans="1:21" x14ac:dyDescent="0.2">
      <c r="A19" s="25" t="s">
        <v>332</v>
      </c>
      <c r="B19" s="26" t="s">
        <v>333</v>
      </c>
      <c r="C19" s="25" t="s">
        <v>630</v>
      </c>
      <c r="D19" s="2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2">
        <f>COUNTIF(F19:T19, "FP")</f>
        <v>0</v>
      </c>
    </row>
    <row r="20" spans="1:21" x14ac:dyDescent="0.2">
      <c r="A20" s="25" t="s">
        <v>334</v>
      </c>
      <c r="B20" s="26" t="s">
        <v>335</v>
      </c>
      <c r="C20" s="25" t="s">
        <v>629</v>
      </c>
      <c r="D20" s="26"/>
      <c r="E20" s="25" t="s">
        <v>299</v>
      </c>
      <c r="F20" s="25" t="s">
        <v>299</v>
      </c>
      <c r="G20" s="25" t="s">
        <v>299</v>
      </c>
      <c r="H20" s="25" t="s">
        <v>299</v>
      </c>
      <c r="I20" s="25" t="s">
        <v>299</v>
      </c>
      <c r="J20" s="25" t="s">
        <v>299</v>
      </c>
      <c r="K20" s="25"/>
      <c r="L20" s="25"/>
      <c r="M20" s="25" t="s">
        <v>299</v>
      </c>
      <c r="N20" s="25"/>
      <c r="O20" s="25" t="s">
        <v>299</v>
      </c>
      <c r="P20" s="25"/>
      <c r="Q20" s="25"/>
      <c r="R20" s="25"/>
      <c r="S20" s="25"/>
      <c r="T20" s="25"/>
      <c r="U20" s="22">
        <f>COUNTIF(F20:T20, "FP")</f>
        <v>7</v>
      </c>
    </row>
    <row r="21" spans="1:21" x14ac:dyDescent="0.2">
      <c r="A21" s="25" t="s">
        <v>336</v>
      </c>
      <c r="B21" s="26" t="s">
        <v>337</v>
      </c>
      <c r="C21" s="25" t="s">
        <v>628</v>
      </c>
      <c r="D21" s="26"/>
      <c r="E21" s="25" t="s">
        <v>299</v>
      </c>
      <c r="F21" s="25"/>
      <c r="G21" s="25"/>
      <c r="H21" s="25"/>
      <c r="I21" s="25"/>
      <c r="J21" s="25"/>
      <c r="K21" s="25"/>
      <c r="L21" s="25"/>
      <c r="M21" s="25" t="s">
        <v>299</v>
      </c>
      <c r="N21" s="25"/>
      <c r="O21" s="25"/>
      <c r="P21" s="25"/>
      <c r="Q21" s="25"/>
      <c r="R21" s="25"/>
      <c r="S21" s="25"/>
      <c r="T21" s="25"/>
      <c r="U21" s="22">
        <f>COUNTIF(F21:T21, "FP")</f>
        <v>1</v>
      </c>
    </row>
    <row r="22" spans="1:21" x14ac:dyDescent="0.2">
      <c r="A22" s="25" t="s">
        <v>338</v>
      </c>
      <c r="B22" s="26" t="s">
        <v>339</v>
      </c>
      <c r="C22" s="25" t="s">
        <v>627</v>
      </c>
      <c r="D22" s="26"/>
      <c r="E22" s="25" t="s">
        <v>299</v>
      </c>
      <c r="F22" s="25" t="s">
        <v>299</v>
      </c>
      <c r="G22" s="25"/>
      <c r="H22" s="25" t="s">
        <v>299</v>
      </c>
      <c r="I22" s="25" t="s">
        <v>299</v>
      </c>
      <c r="J22" s="25"/>
      <c r="K22" s="25"/>
      <c r="L22" s="25"/>
      <c r="M22" s="25" t="s">
        <v>299</v>
      </c>
      <c r="N22" s="25"/>
      <c r="O22" s="25"/>
      <c r="P22" s="25"/>
      <c r="Q22" s="25"/>
      <c r="R22" s="25"/>
      <c r="S22" s="25"/>
      <c r="T22" s="25"/>
      <c r="U22" s="22">
        <f>COUNTIF(F22:T22, "FP")</f>
        <v>4</v>
      </c>
    </row>
    <row r="23" spans="1:21" x14ac:dyDescent="0.2">
      <c r="A23" s="25" t="s">
        <v>340</v>
      </c>
      <c r="B23" s="26" t="s">
        <v>341</v>
      </c>
      <c r="C23" s="25" t="s">
        <v>626</v>
      </c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2">
        <f>COUNTIF(F23:T23, "FP")</f>
        <v>0</v>
      </c>
    </row>
    <row r="24" spans="1:21" x14ac:dyDescent="0.2">
      <c r="A24" s="25" t="s">
        <v>342</v>
      </c>
      <c r="B24" s="26" t="s">
        <v>343</v>
      </c>
      <c r="C24" s="25" t="s">
        <v>625</v>
      </c>
      <c r="D24" s="26"/>
      <c r="E24" s="25" t="s">
        <v>299</v>
      </c>
      <c r="F24" s="25" t="s">
        <v>299</v>
      </c>
      <c r="G24" s="25"/>
      <c r="H24" s="25"/>
      <c r="I24" s="25" t="s">
        <v>299</v>
      </c>
      <c r="J24" s="25" t="s">
        <v>299</v>
      </c>
      <c r="K24" s="25"/>
      <c r="L24" s="25"/>
      <c r="M24" s="25" t="s">
        <v>299</v>
      </c>
      <c r="N24" s="25"/>
      <c r="O24" s="25" t="s">
        <v>299</v>
      </c>
      <c r="P24" s="25"/>
      <c r="Q24" s="25"/>
      <c r="R24" s="25"/>
      <c r="S24" s="25"/>
      <c r="T24" s="25"/>
      <c r="U24" s="22">
        <f>COUNTIF(F24:T24, "FP")</f>
        <v>5</v>
      </c>
    </row>
    <row r="25" spans="1:21" x14ac:dyDescent="0.2">
      <c r="A25" s="25" t="s">
        <v>344</v>
      </c>
      <c r="B25" s="26" t="s">
        <v>345</v>
      </c>
      <c r="C25" s="25" t="s">
        <v>624</v>
      </c>
      <c r="D25" s="26"/>
      <c r="E25" s="25" t="s">
        <v>299</v>
      </c>
      <c r="F25" s="25" t="s">
        <v>299</v>
      </c>
      <c r="G25" s="25" t="s">
        <v>299</v>
      </c>
      <c r="H25" s="25" t="s">
        <v>299</v>
      </c>
      <c r="I25" s="25"/>
      <c r="J25" s="25"/>
      <c r="K25" s="25"/>
      <c r="L25" s="25"/>
      <c r="M25" s="25" t="s">
        <v>299</v>
      </c>
      <c r="N25" s="25" t="s">
        <v>299</v>
      </c>
      <c r="O25" s="25"/>
      <c r="P25" s="25"/>
      <c r="Q25" s="25"/>
      <c r="R25" s="25"/>
      <c r="S25" s="25"/>
      <c r="T25" s="25"/>
      <c r="U25" s="22">
        <f>COUNTIF(F25:T25, "FP")</f>
        <v>5</v>
      </c>
    </row>
    <row r="26" spans="1:21" x14ac:dyDescent="0.2">
      <c r="A26" s="25" t="s">
        <v>346</v>
      </c>
      <c r="B26" s="26" t="s">
        <v>347</v>
      </c>
      <c r="C26" s="25" t="s">
        <v>623</v>
      </c>
      <c r="D26" s="26"/>
      <c r="E26" s="25" t="s">
        <v>299</v>
      </c>
      <c r="F26" s="25" t="s">
        <v>299</v>
      </c>
      <c r="G26" s="25"/>
      <c r="H26" s="25" t="s">
        <v>299</v>
      </c>
      <c r="I26" s="25"/>
      <c r="J26" s="25"/>
      <c r="K26" s="25"/>
      <c r="L26" s="25"/>
      <c r="M26" s="25" t="s">
        <v>299</v>
      </c>
      <c r="N26" s="25"/>
      <c r="O26" s="25"/>
      <c r="P26" s="25"/>
      <c r="Q26" s="25"/>
      <c r="R26" s="25"/>
      <c r="S26" s="25"/>
      <c r="T26" s="25"/>
      <c r="U26" s="22">
        <f>COUNTIF(F26:T26, "FP")</f>
        <v>3</v>
      </c>
    </row>
    <row r="27" spans="1:21" x14ac:dyDescent="0.2">
      <c r="A27" s="25" t="s">
        <v>348</v>
      </c>
      <c r="B27" s="26" t="s">
        <v>349</v>
      </c>
      <c r="C27" s="25" t="s">
        <v>622</v>
      </c>
      <c r="D27" s="26"/>
      <c r="E27" s="25" t="s">
        <v>299</v>
      </c>
      <c r="F27" s="25" t="s">
        <v>299</v>
      </c>
      <c r="G27" s="25"/>
      <c r="H27" s="25" t="s">
        <v>299</v>
      </c>
      <c r="I27" s="25" t="s">
        <v>299</v>
      </c>
      <c r="J27" s="25" t="s">
        <v>299</v>
      </c>
      <c r="K27" s="25"/>
      <c r="L27" s="25"/>
      <c r="M27" s="25" t="s">
        <v>299</v>
      </c>
      <c r="N27" s="25"/>
      <c r="O27" s="25"/>
      <c r="P27" s="25"/>
      <c r="Q27" s="25"/>
      <c r="R27" s="25"/>
      <c r="S27" s="25"/>
      <c r="T27" s="25"/>
      <c r="U27" s="22">
        <f>COUNTIF(F27:T27, "FP")</f>
        <v>5</v>
      </c>
    </row>
    <row r="28" spans="1:21" x14ac:dyDescent="0.2">
      <c r="A28" s="25" t="s">
        <v>350</v>
      </c>
      <c r="B28" s="26" t="s">
        <v>351</v>
      </c>
      <c r="C28" s="25" t="s">
        <v>621</v>
      </c>
      <c r="D28" s="26"/>
      <c r="E28" s="25" t="s">
        <v>299</v>
      </c>
      <c r="F28" s="25" t="s">
        <v>299</v>
      </c>
      <c r="G28" s="25"/>
      <c r="H28" s="25" t="s">
        <v>299</v>
      </c>
      <c r="I28" s="25"/>
      <c r="J28" s="25"/>
      <c r="K28" s="25"/>
      <c r="L28" s="25"/>
      <c r="M28" s="25" t="s">
        <v>299</v>
      </c>
      <c r="N28" s="25" t="s">
        <v>299</v>
      </c>
      <c r="O28" s="25" t="s">
        <v>299</v>
      </c>
      <c r="P28" s="25"/>
      <c r="Q28" s="25"/>
      <c r="R28" s="25"/>
      <c r="S28" s="25"/>
      <c r="T28" s="25"/>
      <c r="U28" s="22">
        <f>COUNTIF(F28:T28, "FP")</f>
        <v>5</v>
      </c>
    </row>
    <row r="29" spans="1:21" x14ac:dyDescent="0.2">
      <c r="A29" s="25" t="s">
        <v>352</v>
      </c>
      <c r="B29" s="26" t="s">
        <v>353</v>
      </c>
      <c r="C29" s="25" t="s">
        <v>620</v>
      </c>
      <c r="D29" s="26"/>
      <c r="E29" s="25" t="s">
        <v>299</v>
      </c>
      <c r="F29" s="25"/>
      <c r="G29" s="25"/>
      <c r="H29" s="25"/>
      <c r="I29" s="25" t="s">
        <v>299</v>
      </c>
      <c r="J29" s="25"/>
      <c r="K29" s="25"/>
      <c r="L29" s="25"/>
      <c r="M29" s="25" t="s">
        <v>299</v>
      </c>
      <c r="N29" s="25"/>
      <c r="O29" s="25"/>
      <c r="P29" s="25"/>
      <c r="Q29" s="25"/>
      <c r="R29" s="25"/>
      <c r="S29" s="25"/>
      <c r="T29" s="25"/>
      <c r="U29" s="22">
        <f>COUNTIF(F29:T29, "FP")</f>
        <v>2</v>
      </c>
    </row>
    <row r="30" spans="1:21" x14ac:dyDescent="0.2">
      <c r="A30" s="25" t="s">
        <v>354</v>
      </c>
      <c r="B30" s="26" t="s">
        <v>355</v>
      </c>
      <c r="C30" s="25" t="s">
        <v>619</v>
      </c>
      <c r="D30" s="26"/>
      <c r="E30" s="25" t="s">
        <v>299</v>
      </c>
      <c r="F30" s="25" t="s">
        <v>299</v>
      </c>
      <c r="G30" s="25"/>
      <c r="H30" s="25" t="s">
        <v>299</v>
      </c>
      <c r="I30" s="25" t="s">
        <v>299</v>
      </c>
      <c r="J30" s="25" t="s">
        <v>299</v>
      </c>
      <c r="K30" s="25"/>
      <c r="L30" s="25"/>
      <c r="M30" s="25" t="s">
        <v>299</v>
      </c>
      <c r="N30" s="25"/>
      <c r="O30" s="25" t="s">
        <v>299</v>
      </c>
      <c r="P30" s="25"/>
      <c r="Q30" s="25"/>
      <c r="R30" s="25"/>
      <c r="S30" s="25"/>
      <c r="T30" s="25"/>
      <c r="U30" s="22">
        <f>COUNTIF(F30:T30, "FP")</f>
        <v>6</v>
      </c>
    </row>
    <row r="31" spans="1:21" x14ac:dyDescent="0.2">
      <c r="A31" s="25" t="s">
        <v>356</v>
      </c>
      <c r="B31" s="26" t="s">
        <v>357</v>
      </c>
      <c r="C31" s="25" t="s">
        <v>618</v>
      </c>
      <c r="D31" s="26"/>
      <c r="E31" s="25" t="s">
        <v>299</v>
      </c>
      <c r="F31" s="25" t="s">
        <v>299</v>
      </c>
      <c r="G31" s="25" t="s">
        <v>299</v>
      </c>
      <c r="H31" s="25" t="s">
        <v>299</v>
      </c>
      <c r="I31" s="25" t="s">
        <v>299</v>
      </c>
      <c r="J31" s="25"/>
      <c r="K31" s="25" t="s">
        <v>299</v>
      </c>
      <c r="L31" s="25"/>
      <c r="M31" s="25" t="s">
        <v>299</v>
      </c>
      <c r="N31" s="25" t="s">
        <v>299</v>
      </c>
      <c r="O31" s="25"/>
      <c r="P31" s="25"/>
      <c r="Q31" s="25"/>
      <c r="R31" s="25"/>
      <c r="S31" s="25"/>
      <c r="T31" s="25"/>
      <c r="U31" s="22">
        <f>COUNTIF(F31:T31, "FP")</f>
        <v>7</v>
      </c>
    </row>
    <row r="32" spans="1:21" x14ac:dyDescent="0.2">
      <c r="A32" s="25" t="s">
        <v>358</v>
      </c>
      <c r="B32" s="26" t="s">
        <v>359</v>
      </c>
      <c r="C32" s="25" t="s">
        <v>617</v>
      </c>
      <c r="D32" s="26"/>
      <c r="E32" s="25" t="s">
        <v>299</v>
      </c>
      <c r="F32" s="25"/>
      <c r="G32" s="25"/>
      <c r="H32" s="25" t="s">
        <v>299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2">
        <f>COUNTIF(F32:T32, "FP")</f>
        <v>1</v>
      </c>
    </row>
    <row r="33" spans="1:21" x14ac:dyDescent="0.2">
      <c r="A33" s="25" t="s">
        <v>360</v>
      </c>
      <c r="B33" s="26" t="s">
        <v>361</v>
      </c>
      <c r="C33" s="25" t="s">
        <v>616</v>
      </c>
      <c r="D33" s="26"/>
      <c r="E33" s="25" t="s">
        <v>299</v>
      </c>
      <c r="F33" s="25" t="s">
        <v>299</v>
      </c>
      <c r="G33" s="25"/>
      <c r="H33" s="25" t="s">
        <v>299</v>
      </c>
      <c r="I33" s="25" t="s">
        <v>299</v>
      </c>
      <c r="J33" s="25"/>
      <c r="K33" s="25" t="s">
        <v>299</v>
      </c>
      <c r="L33" s="25"/>
      <c r="M33" s="25" t="s">
        <v>299</v>
      </c>
      <c r="N33" s="25"/>
      <c r="O33" s="25"/>
      <c r="P33" s="25"/>
      <c r="Q33" s="25"/>
      <c r="R33" s="25"/>
      <c r="S33" s="25"/>
      <c r="T33" s="25"/>
      <c r="U33" s="22">
        <f>COUNTIF(F33:T33, "FP")</f>
        <v>5</v>
      </c>
    </row>
    <row r="34" spans="1:21" x14ac:dyDescent="0.2">
      <c r="A34" s="25" t="s">
        <v>362</v>
      </c>
      <c r="B34" s="26" t="s">
        <v>363</v>
      </c>
      <c r="C34" s="25" t="s">
        <v>615</v>
      </c>
      <c r="D34" s="26"/>
      <c r="E34" s="25" t="s">
        <v>299</v>
      </c>
      <c r="F34" s="25" t="s">
        <v>299</v>
      </c>
      <c r="G34" s="25"/>
      <c r="H34" s="25" t="s">
        <v>299</v>
      </c>
      <c r="I34" s="25" t="s">
        <v>299</v>
      </c>
      <c r="J34" s="25"/>
      <c r="K34" s="25"/>
      <c r="L34" s="25"/>
      <c r="M34" s="25" t="s">
        <v>299</v>
      </c>
      <c r="N34" s="25" t="s">
        <v>299</v>
      </c>
      <c r="O34" s="25" t="s">
        <v>299</v>
      </c>
      <c r="P34" s="25"/>
      <c r="Q34" s="25"/>
      <c r="R34" s="25"/>
      <c r="S34" s="25"/>
      <c r="T34" s="25"/>
      <c r="U34" s="22">
        <f>COUNTIF(F34:T34, "FP")</f>
        <v>6</v>
      </c>
    </row>
    <row r="35" spans="1:21" x14ac:dyDescent="0.2">
      <c r="A35" s="25" t="s">
        <v>364</v>
      </c>
      <c r="B35" s="26" t="s">
        <v>365</v>
      </c>
      <c r="C35" s="25" t="s">
        <v>614</v>
      </c>
      <c r="D35" s="26"/>
      <c r="E35" s="25" t="s">
        <v>299</v>
      </c>
      <c r="F35" s="25" t="s">
        <v>299</v>
      </c>
      <c r="G35" s="25" t="s">
        <v>299</v>
      </c>
      <c r="H35" s="25" t="s">
        <v>299</v>
      </c>
      <c r="I35" s="25" t="s">
        <v>299</v>
      </c>
      <c r="J35" s="25" t="s">
        <v>299</v>
      </c>
      <c r="K35" s="25"/>
      <c r="L35" s="25"/>
      <c r="M35" s="25" t="s">
        <v>299</v>
      </c>
      <c r="N35" s="25"/>
      <c r="O35" s="25"/>
      <c r="P35" s="25"/>
      <c r="Q35" s="25"/>
      <c r="R35" s="25"/>
      <c r="S35" s="25"/>
      <c r="T35" s="25"/>
      <c r="U35" s="22">
        <f>COUNTIF(F35:T35, "FP")</f>
        <v>6</v>
      </c>
    </row>
    <row r="36" spans="1:21" x14ac:dyDescent="0.2">
      <c r="A36" s="25" t="s">
        <v>366</v>
      </c>
      <c r="B36" s="26" t="s">
        <v>367</v>
      </c>
      <c r="C36" s="25" t="s">
        <v>613</v>
      </c>
      <c r="D36" s="26"/>
      <c r="E36" s="25" t="s">
        <v>299</v>
      </c>
      <c r="F36" s="25"/>
      <c r="G36" s="25"/>
      <c r="H36" s="25"/>
      <c r="I36" s="25"/>
      <c r="J36" s="25"/>
      <c r="K36" s="25"/>
      <c r="L36" s="25"/>
      <c r="M36" s="25" t="s">
        <v>299</v>
      </c>
      <c r="N36" s="25"/>
      <c r="O36" s="25"/>
      <c r="P36" s="25"/>
      <c r="Q36" s="25"/>
      <c r="R36" s="25"/>
      <c r="S36" s="25"/>
      <c r="T36" s="25"/>
      <c r="U36" s="22">
        <f>COUNTIF(F36:T36, "FP")</f>
        <v>1</v>
      </c>
    </row>
    <row r="37" spans="1:21" x14ac:dyDescent="0.2">
      <c r="A37" s="25" t="s">
        <v>368</v>
      </c>
      <c r="B37" s="26" t="s">
        <v>369</v>
      </c>
      <c r="C37" s="25" t="s">
        <v>612</v>
      </c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2">
        <f>COUNTIF(F37:T37, "FP")</f>
        <v>0</v>
      </c>
    </row>
    <row r="38" spans="1:21" x14ac:dyDescent="0.2">
      <c r="A38" s="25" t="s">
        <v>370</v>
      </c>
      <c r="B38" s="26" t="s">
        <v>371</v>
      </c>
      <c r="C38" s="25" t="s">
        <v>611</v>
      </c>
      <c r="D38" s="26"/>
      <c r="E38" s="25" t="s">
        <v>299</v>
      </c>
      <c r="F38" s="25" t="s">
        <v>299</v>
      </c>
      <c r="G38" s="25"/>
      <c r="H38" s="25" t="s">
        <v>299</v>
      </c>
      <c r="I38" s="25" t="s">
        <v>299</v>
      </c>
      <c r="J38" s="25"/>
      <c r="K38" s="25"/>
      <c r="L38" s="25"/>
      <c r="M38" s="25" t="s">
        <v>299</v>
      </c>
      <c r="N38" s="25"/>
      <c r="O38" s="25"/>
      <c r="P38" s="25"/>
      <c r="Q38" s="25"/>
      <c r="R38" s="25"/>
      <c r="S38" s="25"/>
      <c r="T38" s="25"/>
      <c r="U38" s="22">
        <f>COUNTIF(F38:T38, "FP")</f>
        <v>4</v>
      </c>
    </row>
    <row r="39" spans="1:21" x14ac:dyDescent="0.2">
      <c r="A39" s="25" t="s">
        <v>372</v>
      </c>
      <c r="B39" s="26" t="s">
        <v>37</v>
      </c>
      <c r="C39" s="25" t="s">
        <v>610</v>
      </c>
      <c r="D39" s="26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2">
        <f>COUNTIF(F39:T39, "FP")</f>
        <v>0</v>
      </c>
    </row>
    <row r="40" spans="1:21" x14ac:dyDescent="0.2">
      <c r="A40" s="25" t="s">
        <v>373</v>
      </c>
      <c r="B40" s="26" t="s">
        <v>374</v>
      </c>
      <c r="C40" s="25" t="s">
        <v>609</v>
      </c>
      <c r="D40" s="26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2">
        <f>COUNTIF(F40:T40, "FP")</f>
        <v>0</v>
      </c>
    </row>
    <row r="41" spans="1:21" x14ac:dyDescent="0.2">
      <c r="A41" s="25" t="s">
        <v>375</v>
      </c>
      <c r="B41" s="26" t="s">
        <v>376</v>
      </c>
      <c r="C41" s="25" t="s">
        <v>608</v>
      </c>
      <c r="D41" s="26"/>
      <c r="E41" s="25" t="s">
        <v>299</v>
      </c>
      <c r="F41" s="25" t="s">
        <v>299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2">
        <f>COUNTIF(F41:T41, "FP")</f>
        <v>1</v>
      </c>
    </row>
    <row r="42" spans="1:21" x14ac:dyDescent="0.2">
      <c r="A42" s="25" t="s">
        <v>377</v>
      </c>
      <c r="B42" s="26" t="s">
        <v>378</v>
      </c>
      <c r="C42" s="25" t="s">
        <v>607</v>
      </c>
      <c r="D42" s="26"/>
      <c r="E42" s="25" t="s">
        <v>299</v>
      </c>
      <c r="F42" s="25" t="s">
        <v>299</v>
      </c>
      <c r="G42" s="25" t="s">
        <v>299</v>
      </c>
      <c r="H42" s="25" t="s">
        <v>299</v>
      </c>
      <c r="I42" s="25" t="s">
        <v>299</v>
      </c>
      <c r="J42" s="25"/>
      <c r="K42" s="25"/>
      <c r="L42" s="25"/>
      <c r="M42" s="25" t="s">
        <v>299</v>
      </c>
      <c r="N42" s="25"/>
      <c r="O42" s="25"/>
      <c r="P42" s="25"/>
      <c r="Q42" s="25"/>
      <c r="R42" s="25"/>
      <c r="S42" s="25"/>
      <c r="T42" s="25"/>
      <c r="U42" s="22">
        <f>COUNTIF(F42:T42, "FP")</f>
        <v>5</v>
      </c>
    </row>
    <row r="43" spans="1:21" x14ac:dyDescent="0.2">
      <c r="A43" s="25" t="s">
        <v>379</v>
      </c>
      <c r="B43" s="26" t="s">
        <v>380</v>
      </c>
      <c r="C43" s="25" t="s">
        <v>606</v>
      </c>
      <c r="D43" s="26"/>
      <c r="E43" s="25" t="s">
        <v>299</v>
      </c>
      <c r="F43" s="25"/>
      <c r="G43" s="25"/>
      <c r="H43" s="25"/>
      <c r="I43" s="25"/>
      <c r="J43" s="25"/>
      <c r="K43" s="25"/>
      <c r="L43" s="25"/>
      <c r="M43" s="25" t="s">
        <v>299</v>
      </c>
      <c r="N43" s="25"/>
      <c r="O43" s="25"/>
      <c r="P43" s="25"/>
      <c r="Q43" s="25"/>
      <c r="R43" s="25"/>
      <c r="S43" s="25"/>
      <c r="T43" s="25"/>
      <c r="U43" s="22">
        <f>COUNTIF(F43:T43, "FP")</f>
        <v>1</v>
      </c>
    </row>
    <row r="44" spans="1:21" x14ac:dyDescent="0.2">
      <c r="A44" s="25" t="s">
        <v>381</v>
      </c>
      <c r="B44" s="26" t="s">
        <v>382</v>
      </c>
      <c r="C44" s="25" t="s">
        <v>605</v>
      </c>
      <c r="D44" s="26"/>
      <c r="E44" s="25" t="s">
        <v>299</v>
      </c>
      <c r="F44" s="25" t="s">
        <v>299</v>
      </c>
      <c r="G44" s="25" t="s">
        <v>299</v>
      </c>
      <c r="H44" s="25" t="s">
        <v>299</v>
      </c>
      <c r="I44" s="25" t="s">
        <v>299</v>
      </c>
      <c r="J44" s="25"/>
      <c r="K44" s="25"/>
      <c r="L44" s="25"/>
      <c r="M44" s="25" t="s">
        <v>299</v>
      </c>
      <c r="N44" s="25"/>
      <c r="O44" s="25" t="s">
        <v>299</v>
      </c>
      <c r="P44" s="25" t="s">
        <v>299</v>
      </c>
      <c r="Q44" s="25"/>
      <c r="R44" s="25"/>
      <c r="S44" s="25"/>
      <c r="T44" s="25"/>
      <c r="U44" s="22">
        <f>COUNTIF(F44:T44, "FP")</f>
        <v>7</v>
      </c>
    </row>
    <row r="45" spans="1:21" x14ac:dyDescent="0.2">
      <c r="A45" s="25" t="s">
        <v>383</v>
      </c>
      <c r="B45" s="26" t="s">
        <v>384</v>
      </c>
      <c r="C45" s="25" t="s">
        <v>604</v>
      </c>
      <c r="D45" s="26"/>
      <c r="E45" s="25" t="s">
        <v>299</v>
      </c>
      <c r="F45" s="25" t="s">
        <v>299</v>
      </c>
      <c r="G45" s="25" t="s">
        <v>299</v>
      </c>
      <c r="H45" s="25" t="s">
        <v>299</v>
      </c>
      <c r="I45" s="25" t="s">
        <v>299</v>
      </c>
      <c r="J45" s="25" t="s">
        <v>299</v>
      </c>
      <c r="K45" s="25" t="s">
        <v>299</v>
      </c>
      <c r="L45" s="25"/>
      <c r="M45" s="25" t="s">
        <v>299</v>
      </c>
      <c r="N45" s="25"/>
      <c r="O45" s="25"/>
      <c r="P45" s="25"/>
      <c r="Q45" s="25"/>
      <c r="R45" s="25"/>
      <c r="S45" s="25"/>
      <c r="T45" s="25"/>
      <c r="U45" s="22">
        <f>COUNTIF(F45:T45, "FP")</f>
        <v>7</v>
      </c>
    </row>
    <row r="46" spans="1:21" x14ac:dyDescent="0.2">
      <c r="A46" s="25" t="s">
        <v>385</v>
      </c>
      <c r="B46" s="26" t="s">
        <v>386</v>
      </c>
      <c r="C46" s="25" t="s">
        <v>603</v>
      </c>
      <c r="D46" s="26"/>
      <c r="E46" s="25" t="s">
        <v>299</v>
      </c>
      <c r="F46" s="25" t="s">
        <v>299</v>
      </c>
      <c r="G46" s="25" t="s">
        <v>299</v>
      </c>
      <c r="H46" s="25" t="s">
        <v>299</v>
      </c>
      <c r="I46" s="25" t="s">
        <v>299</v>
      </c>
      <c r="J46" s="25" t="s">
        <v>299</v>
      </c>
      <c r="K46" s="25" t="s">
        <v>299</v>
      </c>
      <c r="L46" s="25"/>
      <c r="M46" s="25" t="s">
        <v>299</v>
      </c>
      <c r="N46" s="25" t="s">
        <v>299</v>
      </c>
      <c r="O46" s="25" t="s">
        <v>299</v>
      </c>
      <c r="P46" s="25"/>
      <c r="Q46" s="25"/>
      <c r="R46" s="25"/>
      <c r="S46" s="25"/>
      <c r="T46" s="25"/>
      <c r="U46" s="22">
        <f>COUNTIF(F46:T46, "FP")</f>
        <v>9</v>
      </c>
    </row>
    <row r="47" spans="1:21" x14ac:dyDescent="0.2">
      <c r="A47" s="25" t="s">
        <v>387</v>
      </c>
      <c r="B47" s="26" t="s">
        <v>388</v>
      </c>
      <c r="C47" s="25" t="s">
        <v>602</v>
      </c>
      <c r="D47" s="26"/>
      <c r="E47" s="25" t="s">
        <v>299</v>
      </c>
      <c r="F47" s="25"/>
      <c r="G47" s="25"/>
      <c r="H47" s="25"/>
      <c r="I47" s="25"/>
      <c r="J47" s="25"/>
      <c r="K47" s="25"/>
      <c r="L47" s="25"/>
      <c r="M47" s="25" t="s">
        <v>299</v>
      </c>
      <c r="N47" s="25"/>
      <c r="O47" s="25"/>
      <c r="P47" s="25"/>
      <c r="Q47" s="25"/>
      <c r="R47" s="25"/>
      <c r="S47" s="25"/>
      <c r="T47" s="25"/>
      <c r="U47" s="22">
        <f>COUNTIF(F47:T47, "FP")</f>
        <v>1</v>
      </c>
    </row>
    <row r="48" spans="1:21" x14ac:dyDescent="0.2">
      <c r="A48" s="25" t="s">
        <v>389</v>
      </c>
      <c r="B48" s="26" t="s">
        <v>390</v>
      </c>
      <c r="C48" s="25" t="s">
        <v>601</v>
      </c>
      <c r="D48" s="26"/>
      <c r="E48" s="25" t="s">
        <v>299</v>
      </c>
      <c r="F48" s="25"/>
      <c r="G48" s="25"/>
      <c r="H48" s="25"/>
      <c r="I48" s="25"/>
      <c r="J48" s="25"/>
      <c r="K48" s="25"/>
      <c r="L48" s="25"/>
      <c r="M48" s="25" t="s">
        <v>299</v>
      </c>
      <c r="N48" s="25"/>
      <c r="O48" s="25"/>
      <c r="P48" s="25"/>
      <c r="Q48" s="25"/>
      <c r="R48" s="25"/>
      <c r="S48" s="25"/>
      <c r="T48" s="25"/>
      <c r="U48" s="22">
        <f>COUNTIF(F48:T48, "FP")</f>
        <v>1</v>
      </c>
    </row>
    <row r="49" spans="1:21" x14ac:dyDescent="0.2">
      <c r="A49" s="25" t="s">
        <v>391</v>
      </c>
      <c r="B49" s="26" t="s">
        <v>392</v>
      </c>
      <c r="C49" s="25" t="s">
        <v>600</v>
      </c>
      <c r="D49" s="26"/>
      <c r="E49" s="25" t="s">
        <v>299</v>
      </c>
      <c r="F49" s="25" t="s">
        <v>299</v>
      </c>
      <c r="G49" s="25" t="s">
        <v>299</v>
      </c>
      <c r="H49" s="25" t="s">
        <v>299</v>
      </c>
      <c r="I49" s="25" t="s">
        <v>299</v>
      </c>
      <c r="J49" s="25" t="s">
        <v>299</v>
      </c>
      <c r="K49" s="25"/>
      <c r="L49" s="25"/>
      <c r="M49" s="25" t="s">
        <v>299</v>
      </c>
      <c r="N49" s="25"/>
      <c r="O49" s="25" t="s">
        <v>299</v>
      </c>
      <c r="P49" s="25"/>
      <c r="Q49" s="25"/>
      <c r="R49" s="25"/>
      <c r="S49" s="25"/>
      <c r="T49" s="25"/>
      <c r="U49" s="22">
        <f>COUNTIF(F49:T49, "FP")</f>
        <v>7</v>
      </c>
    </row>
    <row r="50" spans="1:21" x14ac:dyDescent="0.2">
      <c r="A50" s="25" t="s">
        <v>393</v>
      </c>
      <c r="B50" s="26" t="s">
        <v>394</v>
      </c>
      <c r="C50" s="25" t="s">
        <v>599</v>
      </c>
      <c r="D50" s="26"/>
      <c r="E50" s="25" t="s">
        <v>299</v>
      </c>
      <c r="F50" s="25" t="s">
        <v>299</v>
      </c>
      <c r="G50" s="25" t="s">
        <v>299</v>
      </c>
      <c r="H50" s="25" t="s">
        <v>299</v>
      </c>
      <c r="I50" s="25"/>
      <c r="J50" s="25"/>
      <c r="K50" s="25"/>
      <c r="L50" s="25"/>
      <c r="M50" s="25" t="s">
        <v>299</v>
      </c>
      <c r="N50" s="25"/>
      <c r="O50" s="25"/>
      <c r="P50" s="25"/>
      <c r="Q50" s="25"/>
      <c r="R50" s="25"/>
      <c r="S50" s="25"/>
      <c r="T50" s="25"/>
      <c r="U50" s="22">
        <f>COUNTIF(F50:T50, "FP")</f>
        <v>4</v>
      </c>
    </row>
    <row r="51" spans="1:21" x14ac:dyDescent="0.2">
      <c r="A51" s="25" t="s">
        <v>395</v>
      </c>
      <c r="B51" s="26" t="s">
        <v>303</v>
      </c>
      <c r="C51" s="25" t="s">
        <v>598</v>
      </c>
      <c r="D51" s="26"/>
      <c r="E51" s="25" t="s">
        <v>299</v>
      </c>
      <c r="F51" s="25" t="s">
        <v>299</v>
      </c>
      <c r="G51" s="25"/>
      <c r="H51" s="25" t="s">
        <v>299</v>
      </c>
      <c r="I51" s="25"/>
      <c r="J51" s="25"/>
      <c r="K51" s="25"/>
      <c r="L51" s="25"/>
      <c r="M51" s="25" t="s">
        <v>299</v>
      </c>
      <c r="N51" s="25"/>
      <c r="O51" s="25"/>
      <c r="P51" s="25"/>
      <c r="Q51" s="25"/>
      <c r="R51" s="25"/>
      <c r="S51" s="25"/>
      <c r="T51" s="25"/>
      <c r="U51" s="22">
        <f>COUNTIF(F51:T51, "FP")</f>
        <v>3</v>
      </c>
    </row>
    <row r="52" spans="1:21" x14ac:dyDescent="0.2">
      <c r="A52" s="25" t="s">
        <v>396</v>
      </c>
      <c r="B52" s="26" t="s">
        <v>397</v>
      </c>
      <c r="C52" s="25" t="s">
        <v>597</v>
      </c>
      <c r="D52" s="26"/>
      <c r="E52" s="25" t="s">
        <v>299</v>
      </c>
      <c r="F52" s="25"/>
      <c r="G52" s="25"/>
      <c r="H52" s="25" t="s">
        <v>299</v>
      </c>
      <c r="I52" s="25" t="s">
        <v>299</v>
      </c>
      <c r="J52" s="25"/>
      <c r="K52" s="25"/>
      <c r="L52" s="25"/>
      <c r="M52" s="25" t="s">
        <v>299</v>
      </c>
      <c r="N52" s="25"/>
      <c r="O52" s="25"/>
      <c r="P52" s="25"/>
      <c r="Q52" s="25"/>
      <c r="R52" s="25"/>
      <c r="S52" s="25"/>
      <c r="T52" s="25"/>
      <c r="U52" s="22">
        <f>COUNTIF(F52:T52, "FP")</f>
        <v>3</v>
      </c>
    </row>
    <row r="53" spans="1:21" x14ac:dyDescent="0.2">
      <c r="A53" s="25" t="s">
        <v>398</v>
      </c>
      <c r="B53" s="26" t="s">
        <v>399</v>
      </c>
      <c r="C53" s="25" t="s">
        <v>596</v>
      </c>
      <c r="D53" s="26"/>
      <c r="E53" s="25" t="s">
        <v>299</v>
      </c>
      <c r="F53" s="25" t="s">
        <v>299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2">
        <f>COUNTIF(F53:T53, "FP")</f>
        <v>1</v>
      </c>
    </row>
    <row r="54" spans="1:21" x14ac:dyDescent="0.2">
      <c r="A54" s="25" t="s">
        <v>400</v>
      </c>
      <c r="B54" s="26" t="s">
        <v>401</v>
      </c>
      <c r="C54" s="25" t="s">
        <v>595</v>
      </c>
      <c r="D54" s="26"/>
      <c r="E54" s="25" t="s">
        <v>299</v>
      </c>
      <c r="F54" s="25" t="s">
        <v>299</v>
      </c>
      <c r="G54" s="25"/>
      <c r="H54" s="25" t="s">
        <v>299</v>
      </c>
      <c r="I54" s="25" t="s">
        <v>299</v>
      </c>
      <c r="J54" s="25"/>
      <c r="K54" s="25"/>
      <c r="L54" s="25"/>
      <c r="M54" s="25" t="s">
        <v>299</v>
      </c>
      <c r="N54" s="25"/>
      <c r="O54" s="25"/>
      <c r="P54" s="25"/>
      <c r="Q54" s="25"/>
      <c r="R54" s="25"/>
      <c r="S54" s="25"/>
      <c r="T54" s="25"/>
      <c r="U54" s="22">
        <f>COUNTIF(F54:T54, "FP")</f>
        <v>4</v>
      </c>
    </row>
    <row r="55" spans="1:21" x14ac:dyDescent="0.2">
      <c r="A55" s="25" t="s">
        <v>402</v>
      </c>
      <c r="B55" s="26" t="s">
        <v>403</v>
      </c>
      <c r="C55" s="25" t="s">
        <v>594</v>
      </c>
      <c r="D55" s="26"/>
      <c r="E55" s="25" t="s">
        <v>299</v>
      </c>
      <c r="F55" s="25" t="s">
        <v>299</v>
      </c>
      <c r="G55" s="25" t="s">
        <v>299</v>
      </c>
      <c r="H55" s="25" t="s">
        <v>299</v>
      </c>
      <c r="I55" s="25" t="s">
        <v>299</v>
      </c>
      <c r="J55" s="25" t="s">
        <v>299</v>
      </c>
      <c r="K55" s="25" t="s">
        <v>299</v>
      </c>
      <c r="L55" s="25"/>
      <c r="M55" s="25" t="s">
        <v>299</v>
      </c>
      <c r="N55" s="25" t="s">
        <v>299</v>
      </c>
      <c r="O55" s="25"/>
      <c r="P55" s="25"/>
      <c r="Q55" s="25"/>
      <c r="R55" s="25"/>
      <c r="S55" s="25"/>
      <c r="T55" s="25"/>
      <c r="U55" s="22">
        <f>COUNTIF(F55:T55, "FP")</f>
        <v>8</v>
      </c>
    </row>
    <row r="56" spans="1:21" x14ac:dyDescent="0.2">
      <c r="A56" s="25" t="s">
        <v>404</v>
      </c>
      <c r="B56" s="26" t="s">
        <v>405</v>
      </c>
      <c r="C56" s="25" t="s">
        <v>593</v>
      </c>
      <c r="D56" s="26"/>
      <c r="E56" s="25" t="s">
        <v>299</v>
      </c>
      <c r="F56" s="25" t="s">
        <v>299</v>
      </c>
      <c r="G56" s="25"/>
      <c r="H56" s="25"/>
      <c r="I56" s="25"/>
      <c r="J56" s="25"/>
      <c r="K56" s="25"/>
      <c r="L56" s="25"/>
      <c r="M56" s="25" t="s">
        <v>299</v>
      </c>
      <c r="N56" s="25"/>
      <c r="O56" s="25" t="s">
        <v>299</v>
      </c>
      <c r="P56" s="25"/>
      <c r="Q56" s="25"/>
      <c r="R56" s="25"/>
      <c r="S56" s="25"/>
      <c r="T56" s="25"/>
      <c r="U56" s="22">
        <f>COUNTIF(F56:T56, "FP")</f>
        <v>3</v>
      </c>
    </row>
    <row r="57" spans="1:21" x14ac:dyDescent="0.2">
      <c r="A57" s="25" t="s">
        <v>406</v>
      </c>
      <c r="B57" s="26" t="s">
        <v>298</v>
      </c>
      <c r="C57" s="25" t="s">
        <v>592</v>
      </c>
      <c r="D57" s="26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2">
        <f>COUNTIF(F57:T57, "FP")</f>
        <v>0</v>
      </c>
    </row>
    <row r="58" spans="1:21" x14ac:dyDescent="0.2">
      <c r="A58" s="25" t="s">
        <v>407</v>
      </c>
      <c r="B58" s="26" t="s">
        <v>408</v>
      </c>
      <c r="C58" s="25" t="s">
        <v>591</v>
      </c>
      <c r="D58" s="26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2">
        <f>COUNTIF(F58:T58, "FP")</f>
        <v>0</v>
      </c>
    </row>
    <row r="59" spans="1:21" x14ac:dyDescent="0.2">
      <c r="A59" s="25" t="s">
        <v>409</v>
      </c>
      <c r="B59" s="26" t="s">
        <v>410</v>
      </c>
      <c r="C59" s="25" t="s">
        <v>590</v>
      </c>
      <c r="D59" s="26"/>
      <c r="E59" s="25" t="s">
        <v>299</v>
      </c>
      <c r="F59" s="25"/>
      <c r="G59" s="25"/>
      <c r="H59" s="25"/>
      <c r="I59" s="25" t="s">
        <v>299</v>
      </c>
      <c r="J59" s="25"/>
      <c r="K59" s="25"/>
      <c r="L59" s="25"/>
      <c r="M59" s="25" t="s">
        <v>299</v>
      </c>
      <c r="N59" s="25"/>
      <c r="O59" s="25"/>
      <c r="P59" s="25"/>
      <c r="Q59" s="25"/>
      <c r="R59" s="25"/>
      <c r="S59" s="25"/>
      <c r="T59" s="25"/>
      <c r="U59" s="22">
        <f>COUNTIF(F59:T59, "FP")</f>
        <v>2</v>
      </c>
    </row>
    <row r="60" spans="1:21" x14ac:dyDescent="0.2">
      <c r="A60" s="25" t="s">
        <v>411</v>
      </c>
      <c r="B60" s="26" t="s">
        <v>412</v>
      </c>
      <c r="C60" s="25" t="s">
        <v>589</v>
      </c>
      <c r="D60" s="26"/>
      <c r="E60" s="25" t="s">
        <v>299</v>
      </c>
      <c r="F60" s="25" t="s">
        <v>299</v>
      </c>
      <c r="G60" s="25"/>
      <c r="H60" s="25" t="s">
        <v>299</v>
      </c>
      <c r="I60" s="25" t="s">
        <v>299</v>
      </c>
      <c r="J60" s="25" t="s">
        <v>299</v>
      </c>
      <c r="K60" s="25"/>
      <c r="L60" s="25"/>
      <c r="M60" s="25" t="s">
        <v>299</v>
      </c>
      <c r="N60" s="25" t="s">
        <v>299</v>
      </c>
      <c r="O60" s="25" t="s">
        <v>299</v>
      </c>
      <c r="P60" s="25"/>
      <c r="Q60" s="25"/>
      <c r="R60" s="25"/>
      <c r="S60" s="25"/>
      <c r="T60" s="25"/>
      <c r="U60" s="22">
        <f>COUNTIF(F60:T60, "FP")</f>
        <v>7</v>
      </c>
    </row>
    <row r="61" spans="1:21" x14ac:dyDescent="0.2">
      <c r="A61" s="25" t="s">
        <v>413</v>
      </c>
      <c r="B61" s="26" t="s">
        <v>414</v>
      </c>
      <c r="C61" s="25" t="s">
        <v>588</v>
      </c>
      <c r="D61" s="26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2">
        <f>COUNTIF(F61:T61, "FP")</f>
        <v>0</v>
      </c>
    </row>
    <row r="62" spans="1:21" x14ac:dyDescent="0.2">
      <c r="A62" s="25" t="s">
        <v>415</v>
      </c>
      <c r="B62" s="26" t="s">
        <v>59</v>
      </c>
      <c r="C62" s="25" t="s">
        <v>587</v>
      </c>
      <c r="D62" s="26"/>
      <c r="E62" s="25" t="s">
        <v>299</v>
      </c>
      <c r="F62" s="25" t="s">
        <v>299</v>
      </c>
      <c r="G62" s="25"/>
      <c r="H62" s="25"/>
      <c r="I62" s="25" t="s">
        <v>299</v>
      </c>
      <c r="J62" s="25"/>
      <c r="K62" s="25"/>
      <c r="L62" s="25"/>
      <c r="M62" s="25" t="s">
        <v>299</v>
      </c>
      <c r="N62" s="25"/>
      <c r="O62" s="25"/>
      <c r="P62" s="25"/>
      <c r="Q62" s="25"/>
      <c r="R62" s="25"/>
      <c r="S62" s="25"/>
      <c r="T62" s="25"/>
      <c r="U62" s="22">
        <f>COUNTIF(F62:T62, "FP")</f>
        <v>3</v>
      </c>
    </row>
    <row r="63" spans="1:21" x14ac:dyDescent="0.2">
      <c r="A63" s="25" t="s">
        <v>416</v>
      </c>
      <c r="B63" s="26" t="s">
        <v>417</v>
      </c>
      <c r="C63" s="25" t="s">
        <v>586</v>
      </c>
      <c r="D63" s="26"/>
      <c r="E63" s="25" t="s">
        <v>299</v>
      </c>
      <c r="F63" s="25" t="s">
        <v>299</v>
      </c>
      <c r="G63" s="25" t="s">
        <v>299</v>
      </c>
      <c r="H63" s="25"/>
      <c r="I63" s="25" t="s">
        <v>299</v>
      </c>
      <c r="J63" s="25" t="s">
        <v>299</v>
      </c>
      <c r="K63" s="25"/>
      <c r="L63" s="25"/>
      <c r="M63" s="25" t="s">
        <v>299</v>
      </c>
      <c r="N63" s="25"/>
      <c r="O63" s="25"/>
      <c r="P63" s="25"/>
      <c r="Q63" s="25"/>
      <c r="R63" s="25"/>
      <c r="S63" s="25"/>
      <c r="T63" s="25"/>
      <c r="U63" s="22">
        <f>COUNTIF(F63:T63, "FP")</f>
        <v>5</v>
      </c>
    </row>
    <row r="64" spans="1:21" x14ac:dyDescent="0.2">
      <c r="A64" s="25" t="s">
        <v>418</v>
      </c>
      <c r="B64" s="26" t="s">
        <v>419</v>
      </c>
      <c r="C64" s="25" t="s">
        <v>585</v>
      </c>
      <c r="D64" s="26"/>
      <c r="E64" s="25" t="s">
        <v>299</v>
      </c>
      <c r="F64" s="25" t="s">
        <v>299</v>
      </c>
      <c r="G64" s="25" t="s">
        <v>299</v>
      </c>
      <c r="H64" s="25"/>
      <c r="I64" s="25"/>
      <c r="J64" s="25" t="s">
        <v>299</v>
      </c>
      <c r="K64" s="25"/>
      <c r="L64" s="25"/>
      <c r="M64" s="25" t="s">
        <v>299</v>
      </c>
      <c r="N64" s="25"/>
      <c r="O64" s="25"/>
      <c r="P64" s="25"/>
      <c r="Q64" s="25"/>
      <c r="R64" s="25"/>
      <c r="S64" s="25"/>
      <c r="T64" s="25"/>
      <c r="U64" s="22">
        <f>COUNTIF(F64:T64, "FP")</f>
        <v>4</v>
      </c>
    </row>
    <row r="65" spans="1:21" x14ac:dyDescent="0.2">
      <c r="A65" s="25" t="s">
        <v>420</v>
      </c>
      <c r="B65" s="26" t="s">
        <v>421</v>
      </c>
      <c r="C65" s="25" t="s">
        <v>584</v>
      </c>
      <c r="D65" s="26"/>
      <c r="E65" s="25" t="s">
        <v>299</v>
      </c>
      <c r="F65" s="25" t="s">
        <v>299</v>
      </c>
      <c r="G65" s="25"/>
      <c r="H65" s="25" t="s">
        <v>299</v>
      </c>
      <c r="I65" s="25" t="s">
        <v>299</v>
      </c>
      <c r="J65" s="25"/>
      <c r="K65" s="25"/>
      <c r="L65" s="25"/>
      <c r="M65" s="25" t="s">
        <v>299</v>
      </c>
      <c r="N65" s="25" t="s">
        <v>299</v>
      </c>
      <c r="O65" s="25" t="s">
        <v>299</v>
      </c>
      <c r="P65" s="25"/>
      <c r="Q65" s="25"/>
      <c r="R65" s="25"/>
      <c r="S65" s="25"/>
      <c r="T65" s="25"/>
      <c r="U65" s="22">
        <f>COUNTIF(F65:T65, "FP")</f>
        <v>6</v>
      </c>
    </row>
    <row r="66" spans="1:21" x14ac:dyDescent="0.2">
      <c r="A66" s="25" t="s">
        <v>422</v>
      </c>
      <c r="B66" s="26" t="s">
        <v>423</v>
      </c>
      <c r="C66" s="25" t="s">
        <v>583</v>
      </c>
      <c r="D66" s="26"/>
      <c r="E66" s="25" t="s">
        <v>299</v>
      </c>
      <c r="F66" s="25"/>
      <c r="G66" s="25"/>
      <c r="H66" s="25"/>
      <c r="I66" s="25"/>
      <c r="J66" s="25" t="s">
        <v>299</v>
      </c>
      <c r="K66" s="25"/>
      <c r="L66" s="25"/>
      <c r="M66" s="25" t="s">
        <v>299</v>
      </c>
      <c r="N66" s="25"/>
      <c r="O66" s="25"/>
      <c r="P66" s="25"/>
      <c r="Q66" s="25"/>
      <c r="R66" s="25"/>
      <c r="S66" s="25"/>
      <c r="T66" s="25"/>
      <c r="U66" s="22">
        <f>COUNTIF(F66:T66, "FP")</f>
        <v>2</v>
      </c>
    </row>
    <row r="67" spans="1:21" x14ac:dyDescent="0.2">
      <c r="A67" s="25" t="s">
        <v>424</v>
      </c>
      <c r="B67" s="26" t="s">
        <v>425</v>
      </c>
      <c r="C67" s="25" t="s">
        <v>582</v>
      </c>
      <c r="D67" s="26"/>
      <c r="E67" s="25" t="s">
        <v>299</v>
      </c>
      <c r="F67" s="25"/>
      <c r="G67" s="25"/>
      <c r="H67" s="25"/>
      <c r="I67" s="25"/>
      <c r="J67" s="25"/>
      <c r="K67" s="25"/>
      <c r="L67" s="25"/>
      <c r="M67" s="25" t="s">
        <v>299</v>
      </c>
      <c r="N67" s="25"/>
      <c r="O67" s="25"/>
      <c r="P67" s="25"/>
      <c r="Q67" s="25"/>
      <c r="R67" s="25"/>
      <c r="S67" s="25"/>
      <c r="T67" s="25"/>
      <c r="U67" s="22">
        <f>COUNTIF(F67:T67, "FP")</f>
        <v>1</v>
      </c>
    </row>
    <row r="68" spans="1:21" x14ac:dyDescent="0.2">
      <c r="A68" s="25" t="s">
        <v>426</v>
      </c>
      <c r="B68" s="26" t="s">
        <v>303</v>
      </c>
      <c r="C68" s="25" t="s">
        <v>581</v>
      </c>
      <c r="D68" s="26"/>
      <c r="E68" s="25" t="s">
        <v>299</v>
      </c>
      <c r="F68" s="25" t="s">
        <v>299</v>
      </c>
      <c r="G68" s="25" t="s">
        <v>299</v>
      </c>
      <c r="H68" s="25" t="s">
        <v>299</v>
      </c>
      <c r="I68" s="25" t="s">
        <v>299</v>
      </c>
      <c r="J68" s="25" t="s">
        <v>299</v>
      </c>
      <c r="K68" s="25" t="s">
        <v>299</v>
      </c>
      <c r="L68" s="25"/>
      <c r="M68" s="25" t="s">
        <v>299</v>
      </c>
      <c r="N68" s="25" t="s">
        <v>299</v>
      </c>
      <c r="O68" s="25" t="s">
        <v>299</v>
      </c>
      <c r="P68" s="25" t="s">
        <v>299</v>
      </c>
      <c r="Q68" s="25"/>
      <c r="R68" s="25"/>
      <c r="S68" s="25"/>
      <c r="T68" s="25"/>
      <c r="U68" s="22">
        <f>COUNTIF(F68:T68, "FP")</f>
        <v>10</v>
      </c>
    </row>
    <row r="69" spans="1:21" x14ac:dyDescent="0.2">
      <c r="A69" s="25" t="s">
        <v>427</v>
      </c>
      <c r="B69" s="26" t="s">
        <v>428</v>
      </c>
      <c r="C69" s="25" t="s">
        <v>580</v>
      </c>
      <c r="D69" s="26"/>
      <c r="E69" s="25" t="s">
        <v>299</v>
      </c>
      <c r="F69" s="25" t="s">
        <v>299</v>
      </c>
      <c r="G69" s="25"/>
      <c r="H69" s="25" t="s">
        <v>299</v>
      </c>
      <c r="I69" s="25" t="s">
        <v>299</v>
      </c>
      <c r="J69" s="25" t="s">
        <v>299</v>
      </c>
      <c r="K69" s="25"/>
      <c r="L69" s="25"/>
      <c r="M69" s="25" t="s">
        <v>299</v>
      </c>
      <c r="N69" s="25"/>
      <c r="O69" s="25"/>
      <c r="P69" s="25"/>
      <c r="Q69" s="25"/>
      <c r="R69" s="25"/>
      <c r="S69" s="25"/>
      <c r="T69" s="25"/>
      <c r="U69" s="22">
        <f>COUNTIF(F69:T69, "FP")</f>
        <v>5</v>
      </c>
    </row>
    <row r="70" spans="1:21" x14ac:dyDescent="0.2">
      <c r="A70" s="25" t="s">
        <v>429</v>
      </c>
      <c r="B70" s="26" t="s">
        <v>430</v>
      </c>
      <c r="C70" s="25" t="s">
        <v>579</v>
      </c>
      <c r="D70" s="26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2">
        <f>COUNTIF(F70:T70, "FP")</f>
        <v>0</v>
      </c>
    </row>
    <row r="71" spans="1:21" x14ac:dyDescent="0.2">
      <c r="A71" s="25" t="s">
        <v>431</v>
      </c>
      <c r="B71" s="26" t="s">
        <v>432</v>
      </c>
      <c r="C71" s="25" t="s">
        <v>578</v>
      </c>
      <c r="D71" s="26"/>
      <c r="E71" s="25" t="s">
        <v>299</v>
      </c>
      <c r="F71" s="25" t="s">
        <v>299</v>
      </c>
      <c r="G71" s="25"/>
      <c r="H71" s="25"/>
      <c r="I71" s="25" t="s">
        <v>299</v>
      </c>
      <c r="J71" s="25"/>
      <c r="K71" s="25"/>
      <c r="L71" s="25"/>
      <c r="M71" s="25" t="s">
        <v>299</v>
      </c>
      <c r="N71" s="25"/>
      <c r="O71" s="25"/>
      <c r="P71" s="25"/>
      <c r="Q71" s="25"/>
      <c r="R71" s="25"/>
      <c r="S71" s="25"/>
      <c r="T71" s="25"/>
      <c r="U71" s="22">
        <f>COUNTIF(F71:T71, "FP")</f>
        <v>3</v>
      </c>
    </row>
    <row r="72" spans="1:21" x14ac:dyDescent="0.2">
      <c r="A72" s="25" t="s">
        <v>433</v>
      </c>
      <c r="B72" s="26" t="s">
        <v>434</v>
      </c>
      <c r="C72" s="25" t="s">
        <v>577</v>
      </c>
      <c r="D72" s="26"/>
      <c r="E72" s="25" t="s">
        <v>299</v>
      </c>
      <c r="F72" s="25" t="s">
        <v>299</v>
      </c>
      <c r="G72" s="25"/>
      <c r="H72" s="25" t="s">
        <v>299</v>
      </c>
      <c r="I72" s="25"/>
      <c r="J72" s="25" t="s">
        <v>299</v>
      </c>
      <c r="K72" s="25"/>
      <c r="L72" s="25"/>
      <c r="M72" s="25" t="s">
        <v>299</v>
      </c>
      <c r="N72" s="25"/>
      <c r="O72" s="25"/>
      <c r="P72" s="25"/>
      <c r="Q72" s="25"/>
      <c r="R72" s="25"/>
      <c r="S72" s="25"/>
      <c r="T72" s="25"/>
      <c r="U72" s="22">
        <f>COUNTIF(F72:T72, "FP")</f>
        <v>4</v>
      </c>
    </row>
    <row r="73" spans="1:21" x14ac:dyDescent="0.2">
      <c r="A73" s="25" t="s">
        <v>435</v>
      </c>
      <c r="B73" s="26" t="s">
        <v>436</v>
      </c>
      <c r="C73" s="25" t="s">
        <v>576</v>
      </c>
      <c r="D73" s="26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2">
        <f>COUNTIF(F73:T73, "FP")</f>
        <v>0</v>
      </c>
    </row>
    <row r="74" spans="1:21" x14ac:dyDescent="0.2">
      <c r="A74" s="25" t="s">
        <v>437</v>
      </c>
      <c r="B74" s="26" t="s">
        <v>438</v>
      </c>
      <c r="C74" s="25" t="s">
        <v>575</v>
      </c>
      <c r="D74" s="26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2">
        <f>COUNTIF(F74:T74, "FP")</f>
        <v>0</v>
      </c>
    </row>
    <row r="75" spans="1:21" x14ac:dyDescent="0.2">
      <c r="A75" s="25" t="s">
        <v>439</v>
      </c>
      <c r="B75" s="26" t="s">
        <v>440</v>
      </c>
      <c r="C75" s="25" t="s">
        <v>574</v>
      </c>
      <c r="D75" s="26"/>
      <c r="E75" s="25" t="s">
        <v>299</v>
      </c>
      <c r="F75" s="25"/>
      <c r="G75" s="25"/>
      <c r="H75" s="25"/>
      <c r="I75" s="25" t="s">
        <v>299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2">
        <f>COUNTIF(F75:T75, "FP")</f>
        <v>1</v>
      </c>
    </row>
    <row r="76" spans="1:21" x14ac:dyDescent="0.2">
      <c r="A76" s="25" t="s">
        <v>441</v>
      </c>
      <c r="B76" s="26" t="s">
        <v>376</v>
      </c>
      <c r="C76" s="25" t="s">
        <v>573</v>
      </c>
      <c r="D76" s="26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2">
        <f>COUNTIF(F76:T76, "FP")</f>
        <v>0</v>
      </c>
    </row>
    <row r="77" spans="1:21" x14ac:dyDescent="0.2">
      <c r="A77" s="25" t="s">
        <v>442</v>
      </c>
      <c r="B77" s="26" t="s">
        <v>443</v>
      </c>
      <c r="C77" s="25" t="s">
        <v>572</v>
      </c>
      <c r="D77" s="26"/>
      <c r="E77" s="25" t="s">
        <v>299</v>
      </c>
      <c r="F77" s="25" t="s">
        <v>299</v>
      </c>
      <c r="G77" s="25"/>
      <c r="H77" s="25" t="s">
        <v>299</v>
      </c>
      <c r="I77" s="25" t="s">
        <v>299</v>
      </c>
      <c r="J77" s="25" t="s">
        <v>299</v>
      </c>
      <c r="K77" s="25" t="s">
        <v>299</v>
      </c>
      <c r="L77" s="25"/>
      <c r="M77" s="25" t="s">
        <v>299</v>
      </c>
      <c r="N77" s="25" t="s">
        <v>299</v>
      </c>
      <c r="O77" s="25" t="s">
        <v>299</v>
      </c>
      <c r="P77" s="25"/>
      <c r="Q77" s="25"/>
      <c r="R77" s="25"/>
      <c r="S77" s="25"/>
      <c r="T77" s="25"/>
      <c r="U77" s="22">
        <f>COUNTIF(F77:T77, "FP")</f>
        <v>8</v>
      </c>
    </row>
    <row r="78" spans="1:21" x14ac:dyDescent="0.2">
      <c r="A78" s="25" t="s">
        <v>444</v>
      </c>
      <c r="B78" s="26" t="s">
        <v>445</v>
      </c>
      <c r="C78" s="25" t="s">
        <v>571</v>
      </c>
      <c r="D78" s="26"/>
      <c r="E78" s="25" t="s">
        <v>299</v>
      </c>
      <c r="F78" s="25" t="s">
        <v>299</v>
      </c>
      <c r="G78" s="25"/>
      <c r="H78" s="25" t="s">
        <v>299</v>
      </c>
      <c r="I78" s="25" t="s">
        <v>299</v>
      </c>
      <c r="J78" s="25" t="s">
        <v>299</v>
      </c>
      <c r="K78" s="25"/>
      <c r="L78" s="25"/>
      <c r="M78" s="25" t="s">
        <v>299</v>
      </c>
      <c r="N78" s="25"/>
      <c r="O78" s="25"/>
      <c r="P78" s="25"/>
      <c r="Q78" s="25"/>
      <c r="R78" s="25"/>
      <c r="S78" s="25"/>
      <c r="T78" s="25"/>
      <c r="U78" s="22">
        <f>COUNTIF(F78:T78, "FP")</f>
        <v>5</v>
      </c>
    </row>
    <row r="79" spans="1:21" x14ac:dyDescent="0.2">
      <c r="A79" s="25" t="s">
        <v>446</v>
      </c>
      <c r="B79" s="26" t="s">
        <v>447</v>
      </c>
      <c r="C79" s="25" t="s">
        <v>570</v>
      </c>
      <c r="D79" s="26"/>
      <c r="E79" s="25" t="s">
        <v>299</v>
      </c>
      <c r="F79" s="25"/>
      <c r="G79" s="25"/>
      <c r="H79" s="25"/>
      <c r="I79" s="25" t="s">
        <v>299</v>
      </c>
      <c r="J79" s="25"/>
      <c r="K79" s="25"/>
      <c r="L79" s="25"/>
      <c r="M79" s="25"/>
      <c r="N79" s="25"/>
      <c r="O79" s="25" t="s">
        <v>299</v>
      </c>
      <c r="P79" s="25"/>
      <c r="Q79" s="25"/>
      <c r="R79" s="25"/>
      <c r="S79" s="25"/>
      <c r="T79" s="25"/>
      <c r="U79" s="22">
        <f>COUNTIF(F79:T79, "FP")</f>
        <v>2</v>
      </c>
    </row>
    <row r="80" spans="1:21" x14ac:dyDescent="0.2">
      <c r="A80" s="25" t="s">
        <v>448</v>
      </c>
      <c r="B80" s="26" t="s">
        <v>449</v>
      </c>
      <c r="C80" s="25" t="s">
        <v>569</v>
      </c>
      <c r="D80" s="26"/>
      <c r="E80" s="25" t="s">
        <v>299</v>
      </c>
      <c r="F80" s="25"/>
      <c r="G80" s="25"/>
      <c r="H80" s="25"/>
      <c r="I80" s="25"/>
      <c r="J80" s="25"/>
      <c r="K80" s="25"/>
      <c r="L80" s="25"/>
      <c r="M80" s="25" t="s">
        <v>299</v>
      </c>
      <c r="N80" s="25"/>
      <c r="O80" s="25"/>
      <c r="P80" s="25"/>
      <c r="Q80" s="25"/>
      <c r="R80" s="25"/>
      <c r="S80" s="25"/>
      <c r="T80" s="25"/>
      <c r="U80" s="22">
        <f>COUNTIF(F80:T80, "FP")</f>
        <v>1</v>
      </c>
    </row>
    <row r="81" spans="1:21" x14ac:dyDescent="0.2">
      <c r="A81" s="25" t="s">
        <v>450</v>
      </c>
      <c r="B81" s="26" t="s">
        <v>451</v>
      </c>
      <c r="C81" s="25" t="s">
        <v>568</v>
      </c>
      <c r="D81" s="26"/>
      <c r="E81" s="25" t="s">
        <v>299</v>
      </c>
      <c r="F81" s="25"/>
      <c r="G81" s="25"/>
      <c r="H81" s="25"/>
      <c r="I81" s="25"/>
      <c r="J81" s="25"/>
      <c r="K81" s="25"/>
      <c r="L81" s="25"/>
      <c r="M81" s="25" t="s">
        <v>299</v>
      </c>
      <c r="N81" s="25"/>
      <c r="O81" s="25"/>
      <c r="P81" s="25"/>
      <c r="Q81" s="25"/>
      <c r="R81" s="25"/>
      <c r="S81" s="25"/>
      <c r="T81" s="25"/>
      <c r="U81" s="22">
        <f>COUNTIF(F81:T81, "FP")</f>
        <v>1</v>
      </c>
    </row>
    <row r="82" spans="1:21" x14ac:dyDescent="0.2">
      <c r="A82" s="25" t="s">
        <v>452</v>
      </c>
      <c r="B82" s="26" t="s">
        <v>453</v>
      </c>
      <c r="C82" s="25" t="s">
        <v>567</v>
      </c>
      <c r="D82" s="26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2">
        <f>COUNTIF(F82:T82, "FP")</f>
        <v>0</v>
      </c>
    </row>
    <row r="83" spans="1:21" x14ac:dyDescent="0.2">
      <c r="A83" s="25" t="s">
        <v>454</v>
      </c>
      <c r="B83" s="26" t="s">
        <v>455</v>
      </c>
      <c r="C83" s="25" t="s">
        <v>566</v>
      </c>
      <c r="D83" s="26"/>
      <c r="E83" s="25" t="s">
        <v>299</v>
      </c>
      <c r="F83" s="25" t="s">
        <v>299</v>
      </c>
      <c r="G83" s="25"/>
      <c r="H83" s="25" t="s">
        <v>299</v>
      </c>
      <c r="I83" s="25" t="s">
        <v>299</v>
      </c>
      <c r="J83" s="25"/>
      <c r="K83" s="25"/>
      <c r="L83" s="25" t="s">
        <v>299</v>
      </c>
      <c r="M83" s="25" t="s">
        <v>299</v>
      </c>
      <c r="N83" s="25"/>
      <c r="O83" s="25"/>
      <c r="P83" s="25"/>
      <c r="Q83" s="25"/>
      <c r="R83" s="25"/>
      <c r="S83" s="25"/>
      <c r="T83" s="25"/>
      <c r="U83" s="22">
        <f>COUNTIF(F83:T83, "FP")</f>
        <v>5</v>
      </c>
    </row>
    <row r="84" spans="1:21" x14ac:dyDescent="0.2">
      <c r="A84" s="25" t="s">
        <v>456</v>
      </c>
      <c r="B84" s="26" t="s">
        <v>457</v>
      </c>
      <c r="C84" s="25" t="s">
        <v>565</v>
      </c>
      <c r="D84" s="26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2">
        <f>COUNTIF(F84:T84, "FP")</f>
        <v>0</v>
      </c>
    </row>
    <row r="85" spans="1:21" x14ac:dyDescent="0.2">
      <c r="A85" s="25" t="s">
        <v>458</v>
      </c>
      <c r="B85" s="26" t="s">
        <v>459</v>
      </c>
      <c r="C85" s="25" t="s">
        <v>564</v>
      </c>
      <c r="D85" s="26"/>
      <c r="E85" s="25" t="s">
        <v>299</v>
      </c>
      <c r="F85" s="25" t="s">
        <v>299</v>
      </c>
      <c r="G85" s="25" t="s">
        <v>299</v>
      </c>
      <c r="H85" s="25"/>
      <c r="I85" s="25" t="s">
        <v>299</v>
      </c>
      <c r="J85" s="25" t="s">
        <v>299</v>
      </c>
      <c r="K85" s="25"/>
      <c r="L85" s="25"/>
      <c r="M85" s="25" t="s">
        <v>299</v>
      </c>
      <c r="N85" s="25" t="s">
        <v>299</v>
      </c>
      <c r="O85" s="25"/>
      <c r="P85" s="25"/>
      <c r="Q85" s="25"/>
      <c r="R85" s="25"/>
      <c r="S85" s="25"/>
      <c r="T85" s="25"/>
      <c r="U85" s="22">
        <f>COUNTIF(F85:T85, "FP")</f>
        <v>6</v>
      </c>
    </row>
    <row r="86" spans="1:21" x14ac:dyDescent="0.2">
      <c r="A86" s="25" t="s">
        <v>460</v>
      </c>
      <c r="B86" s="26" t="s">
        <v>461</v>
      </c>
      <c r="C86" s="25" t="s">
        <v>563</v>
      </c>
      <c r="D86" s="26"/>
      <c r="E86" s="25" t="s">
        <v>299</v>
      </c>
      <c r="F86" s="25" t="s">
        <v>299</v>
      </c>
      <c r="G86" s="25"/>
      <c r="H86" s="25" t="s">
        <v>299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2">
        <f>COUNTIF(F86:T86, "FP")</f>
        <v>2</v>
      </c>
    </row>
    <row r="87" spans="1:21" x14ac:dyDescent="0.2">
      <c r="A87" s="25" t="s">
        <v>462</v>
      </c>
      <c r="B87" s="26" t="s">
        <v>463</v>
      </c>
      <c r="C87" s="25" t="s">
        <v>562</v>
      </c>
      <c r="D87" s="26"/>
      <c r="E87" s="25" t="s">
        <v>299</v>
      </c>
      <c r="F87" s="25" t="s">
        <v>299</v>
      </c>
      <c r="G87" s="25" t="s">
        <v>299</v>
      </c>
      <c r="H87" s="25" t="s">
        <v>299</v>
      </c>
      <c r="I87" s="25" t="s">
        <v>299</v>
      </c>
      <c r="J87" s="25"/>
      <c r="K87" s="25"/>
      <c r="L87" s="25"/>
      <c r="M87" s="25" t="s">
        <v>299</v>
      </c>
      <c r="N87" s="25"/>
      <c r="O87" s="25"/>
      <c r="P87" s="25"/>
      <c r="Q87" s="25"/>
      <c r="R87" s="25"/>
      <c r="S87" s="25"/>
      <c r="T87" s="25"/>
      <c r="U87" s="22">
        <f>COUNTIF(F87:T87, "FP")</f>
        <v>5</v>
      </c>
    </row>
    <row r="88" spans="1:21" x14ac:dyDescent="0.2">
      <c r="A88" s="25" t="s">
        <v>464</v>
      </c>
      <c r="B88" s="26" t="s">
        <v>465</v>
      </c>
      <c r="C88" s="25" t="s">
        <v>561</v>
      </c>
      <c r="D88" s="26"/>
      <c r="E88" s="25" t="s">
        <v>299</v>
      </c>
      <c r="F88" s="25" t="s">
        <v>299</v>
      </c>
      <c r="G88" s="25"/>
      <c r="H88" s="25"/>
      <c r="I88" s="25" t="s">
        <v>299</v>
      </c>
      <c r="J88" s="25"/>
      <c r="K88" s="25" t="s">
        <v>299</v>
      </c>
      <c r="L88" s="25"/>
      <c r="M88" s="25"/>
      <c r="N88" s="25"/>
      <c r="O88" s="25"/>
      <c r="P88" s="25"/>
      <c r="Q88" s="25"/>
      <c r="R88" s="25"/>
      <c r="S88" s="25"/>
      <c r="T88" s="25"/>
      <c r="U88" s="22">
        <f>COUNTIF(F88:T88, "FP")</f>
        <v>3</v>
      </c>
    </row>
    <row r="89" spans="1:21" x14ac:dyDescent="0.2">
      <c r="A89" s="25" t="s">
        <v>466</v>
      </c>
      <c r="B89" s="26" t="s">
        <v>467</v>
      </c>
      <c r="C89" s="25" t="s">
        <v>560</v>
      </c>
      <c r="D89" s="26"/>
      <c r="E89" s="25" t="s">
        <v>299</v>
      </c>
      <c r="F89" s="25" t="s">
        <v>299</v>
      </c>
      <c r="G89" s="25"/>
      <c r="H89" s="25" t="s">
        <v>299</v>
      </c>
      <c r="I89" s="25" t="s">
        <v>299</v>
      </c>
      <c r="J89" s="25" t="s">
        <v>299</v>
      </c>
      <c r="K89" s="25"/>
      <c r="L89" s="25"/>
      <c r="M89" s="25" t="s">
        <v>299</v>
      </c>
      <c r="N89" s="25" t="s">
        <v>299</v>
      </c>
      <c r="O89" s="25"/>
      <c r="P89" s="25"/>
      <c r="Q89" s="25"/>
      <c r="R89" s="25"/>
      <c r="S89" s="25"/>
      <c r="T89" s="25"/>
      <c r="U89" s="22">
        <f>COUNTIF(F89:T89, "FP")</f>
        <v>6</v>
      </c>
    </row>
    <row r="90" spans="1:21" x14ac:dyDescent="0.2">
      <c r="A90" s="25" t="s">
        <v>468</v>
      </c>
      <c r="B90" s="26" t="s">
        <v>315</v>
      </c>
      <c r="C90" s="25" t="s">
        <v>559</v>
      </c>
      <c r="D90" s="26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2">
        <f>COUNTIF(F90:T90, "FP")</f>
        <v>0</v>
      </c>
    </row>
    <row r="91" spans="1:21" x14ac:dyDescent="0.2">
      <c r="A91" s="25" t="s">
        <v>469</v>
      </c>
      <c r="B91" s="26" t="s">
        <v>470</v>
      </c>
      <c r="C91" s="25" t="s">
        <v>558</v>
      </c>
      <c r="D91" s="26"/>
      <c r="E91" s="25" t="s">
        <v>299</v>
      </c>
      <c r="F91" s="25" t="s">
        <v>299</v>
      </c>
      <c r="G91" s="25" t="s">
        <v>299</v>
      </c>
      <c r="H91" s="25" t="s">
        <v>299</v>
      </c>
      <c r="I91" s="25" t="s">
        <v>299</v>
      </c>
      <c r="J91" s="25" t="s">
        <v>299</v>
      </c>
      <c r="K91" s="25"/>
      <c r="L91" s="25"/>
      <c r="M91" s="25" t="s">
        <v>299</v>
      </c>
      <c r="N91" s="25"/>
      <c r="O91" s="25"/>
      <c r="P91" s="25"/>
      <c r="Q91" s="25"/>
      <c r="R91" s="25"/>
      <c r="S91" s="25"/>
      <c r="T91" s="25"/>
      <c r="U91" s="22">
        <f>COUNTIF(F91:T91, "FP")</f>
        <v>6</v>
      </c>
    </row>
    <row r="92" spans="1:21" x14ac:dyDescent="0.2">
      <c r="A92" s="25" t="s">
        <v>471</v>
      </c>
      <c r="B92" s="26" t="s">
        <v>472</v>
      </c>
      <c r="C92" s="25" t="s">
        <v>557</v>
      </c>
      <c r="D92" s="26"/>
      <c r="E92" s="25" t="s">
        <v>299</v>
      </c>
      <c r="F92" s="25" t="s">
        <v>299</v>
      </c>
      <c r="G92" s="25"/>
      <c r="H92" s="25" t="s">
        <v>299</v>
      </c>
      <c r="I92" s="25" t="s">
        <v>299</v>
      </c>
      <c r="J92" s="25"/>
      <c r="K92" s="25"/>
      <c r="L92" s="25"/>
      <c r="M92" s="25" t="s">
        <v>299</v>
      </c>
      <c r="N92" s="25"/>
      <c r="O92" s="25"/>
      <c r="P92" s="25"/>
      <c r="Q92" s="25"/>
      <c r="R92" s="25"/>
      <c r="S92" s="25"/>
      <c r="T92" s="25"/>
      <c r="U92" s="22">
        <f>COUNTIF(F92:T92, "FP")</f>
        <v>4</v>
      </c>
    </row>
    <row r="93" spans="1:21" x14ac:dyDescent="0.2">
      <c r="A93" s="25" t="s">
        <v>473</v>
      </c>
      <c r="B93" s="26" t="s">
        <v>474</v>
      </c>
      <c r="C93" s="25" t="s">
        <v>556</v>
      </c>
      <c r="D93" s="26"/>
      <c r="E93" s="25" t="s">
        <v>299</v>
      </c>
      <c r="F93" s="25" t="s">
        <v>299</v>
      </c>
      <c r="G93" s="25"/>
      <c r="H93" s="25" t="s">
        <v>299</v>
      </c>
      <c r="I93" s="25" t="s">
        <v>299</v>
      </c>
      <c r="J93" s="25"/>
      <c r="K93" s="25"/>
      <c r="L93" s="25"/>
      <c r="M93" s="25" t="s">
        <v>299</v>
      </c>
      <c r="N93" s="25"/>
      <c r="O93" s="25"/>
      <c r="P93" s="25"/>
      <c r="Q93" s="25"/>
      <c r="R93" s="25"/>
      <c r="S93" s="25"/>
      <c r="T93" s="25"/>
      <c r="U93" s="22">
        <f>COUNTIF(F93:T93, "FP")</f>
        <v>4</v>
      </c>
    </row>
    <row r="94" spans="1:21" x14ac:dyDescent="0.2">
      <c r="A94" s="25" t="s">
        <v>475</v>
      </c>
      <c r="B94" s="26" t="s">
        <v>476</v>
      </c>
      <c r="C94" s="25" t="s">
        <v>555</v>
      </c>
      <c r="D94" s="26"/>
      <c r="E94" s="25" t="s">
        <v>299</v>
      </c>
      <c r="F94" s="25"/>
      <c r="G94" s="25"/>
      <c r="H94" s="25" t="s">
        <v>299</v>
      </c>
      <c r="I94" s="25"/>
      <c r="J94" s="25"/>
      <c r="K94" s="25"/>
      <c r="L94" s="25"/>
      <c r="M94" s="25" t="s">
        <v>299</v>
      </c>
      <c r="N94" s="25"/>
      <c r="O94" s="25"/>
      <c r="P94" s="25"/>
      <c r="Q94" s="25"/>
      <c r="R94" s="25"/>
      <c r="S94" s="25"/>
      <c r="T94" s="25"/>
      <c r="U94" s="22">
        <f>COUNTIF(F94:T94, "FP")</f>
        <v>2</v>
      </c>
    </row>
    <row r="95" spans="1:21" x14ac:dyDescent="0.2">
      <c r="A95" s="25" t="s">
        <v>477</v>
      </c>
      <c r="B95" s="26" t="s">
        <v>478</v>
      </c>
      <c r="C95" s="25" t="s">
        <v>554</v>
      </c>
      <c r="D95" s="26" t="s">
        <v>553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2">
        <f>COUNTIF(F95:T95, "FP")</f>
        <v>0</v>
      </c>
    </row>
    <row r="96" spans="1:21" x14ac:dyDescent="0.2">
      <c r="A96" s="25" t="s">
        <v>479</v>
      </c>
      <c r="B96" s="26" t="s">
        <v>480</v>
      </c>
      <c r="C96" s="25" t="s">
        <v>552</v>
      </c>
      <c r="D96" s="26"/>
      <c r="E96" s="25" t="s">
        <v>299</v>
      </c>
      <c r="F96" s="25" t="s">
        <v>299</v>
      </c>
      <c r="G96" s="25"/>
      <c r="H96" s="25" t="s">
        <v>299</v>
      </c>
      <c r="I96" s="25"/>
      <c r="J96" s="25"/>
      <c r="K96" s="25"/>
      <c r="L96" s="25"/>
      <c r="M96" s="25" t="s">
        <v>299</v>
      </c>
      <c r="N96" s="25"/>
      <c r="O96" s="25"/>
      <c r="P96" s="25"/>
      <c r="Q96" s="25"/>
      <c r="R96" s="25"/>
      <c r="S96" s="25"/>
      <c r="T96" s="25"/>
      <c r="U96" s="22">
        <f>COUNTIF(F96:T96, "FP")</f>
        <v>3</v>
      </c>
    </row>
    <row r="97" spans="1:21" x14ac:dyDescent="0.2">
      <c r="A97" s="25" t="s">
        <v>481</v>
      </c>
      <c r="B97" s="26" t="s">
        <v>482</v>
      </c>
      <c r="C97" s="25" t="s">
        <v>551</v>
      </c>
      <c r="D97" s="26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2">
        <f>COUNTIF(F97:T97, "FP")</f>
        <v>0</v>
      </c>
    </row>
    <row r="98" spans="1:21" x14ac:dyDescent="0.2">
      <c r="A98" s="25" t="s">
        <v>483</v>
      </c>
      <c r="B98" s="26" t="s">
        <v>484</v>
      </c>
      <c r="C98" s="25" t="s">
        <v>550</v>
      </c>
      <c r="D98" s="26"/>
      <c r="E98" s="25" t="s">
        <v>299</v>
      </c>
      <c r="F98" s="25" t="s">
        <v>299</v>
      </c>
      <c r="G98" s="25"/>
      <c r="H98" s="25" t="s">
        <v>299</v>
      </c>
      <c r="I98" s="25" t="s">
        <v>299</v>
      </c>
      <c r="J98" s="25"/>
      <c r="K98" s="25"/>
      <c r="L98" s="25"/>
      <c r="M98" s="25" t="s">
        <v>299</v>
      </c>
      <c r="N98" s="25"/>
      <c r="O98" s="25" t="s">
        <v>299</v>
      </c>
      <c r="P98" s="25"/>
      <c r="Q98" s="25"/>
      <c r="R98" s="25"/>
      <c r="S98" s="25"/>
      <c r="T98" s="25"/>
      <c r="U98" s="22">
        <f>COUNTIF(F98:T98, "FP")</f>
        <v>5</v>
      </c>
    </row>
    <row r="99" spans="1:21" x14ac:dyDescent="0.2">
      <c r="A99" s="25" t="s">
        <v>485</v>
      </c>
      <c r="B99" s="26" t="s">
        <v>96</v>
      </c>
      <c r="C99" s="25" t="s">
        <v>549</v>
      </c>
      <c r="D99" s="26"/>
      <c r="E99" s="25" t="s">
        <v>299</v>
      </c>
      <c r="F99" s="25"/>
      <c r="G99" s="25"/>
      <c r="H99" s="25"/>
      <c r="I99" s="25"/>
      <c r="J99" s="25"/>
      <c r="K99" s="25"/>
      <c r="L99" s="25"/>
      <c r="M99" s="25" t="s">
        <v>299</v>
      </c>
      <c r="N99" s="25"/>
      <c r="O99" s="25"/>
      <c r="P99" s="25"/>
      <c r="Q99" s="25"/>
      <c r="R99" s="25"/>
      <c r="S99" s="25"/>
      <c r="T99" s="25"/>
      <c r="U99" s="22">
        <f>COUNTIF(F99:T99, "FP")</f>
        <v>1</v>
      </c>
    </row>
    <row r="100" spans="1:21" x14ac:dyDescent="0.2">
      <c r="A100" s="25" t="s">
        <v>486</v>
      </c>
      <c r="B100" s="26" t="s">
        <v>487</v>
      </c>
      <c r="C100" s="25" t="s">
        <v>548</v>
      </c>
      <c r="D100" s="26" t="s">
        <v>547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2">
        <f>COUNTIF(F100:T100, "FP")</f>
        <v>0</v>
      </c>
    </row>
    <row r="101" spans="1:21" x14ac:dyDescent="0.2">
      <c r="A101" s="25" t="s">
        <v>488</v>
      </c>
      <c r="B101" s="26" t="s">
        <v>489</v>
      </c>
      <c r="C101" s="25" t="s">
        <v>546</v>
      </c>
      <c r="D101" s="26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2">
        <f>COUNTIF(F101:T101, "FP")</f>
        <v>0</v>
      </c>
    </row>
    <row r="102" spans="1:21" x14ac:dyDescent="0.2">
      <c r="U102" s="22">
        <f>SUM(U2:U101)/100</f>
        <v>3.42</v>
      </c>
    </row>
  </sheetData>
  <autoFilter ref="A1:T101" xr:uid="{00000000-0009-0000-0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1A1E-1907-AA42-BD93-4B9250A4F4F7}">
  <dimension ref="A1:X951"/>
  <sheetViews>
    <sheetView workbookViewId="0">
      <pane xSplit="5" ySplit="1" topLeftCell="T75" activePane="bottomRight" state="frozen"/>
      <selection pane="topRight"/>
      <selection pane="bottomLeft"/>
      <selection pane="bottomRight" activeCell="U2" sqref="U2:V102"/>
    </sheetView>
  </sheetViews>
  <sheetFormatPr baseColWidth="10" defaultColWidth="8.83203125" defaultRowHeight="15" x14ac:dyDescent="0.2"/>
  <cols>
    <col min="1" max="1" width="10" style="22" customWidth="1"/>
    <col min="2" max="2" width="28" style="22" customWidth="1"/>
    <col min="3" max="3" width="34" style="22" customWidth="1"/>
    <col min="4" max="4" width="17.1640625" style="22" customWidth="1"/>
    <col min="5" max="5" width="14" style="22" customWidth="1"/>
    <col min="6" max="18" width="18" style="22" customWidth="1"/>
    <col min="19" max="19" width="14.6640625" style="22" customWidth="1"/>
    <col min="20" max="20" width="10.33203125" style="22" customWidth="1"/>
    <col min="21" max="23" width="8.83203125" style="22"/>
    <col min="24" max="24" width="9.6640625" style="22" bestFit="1" customWidth="1"/>
    <col min="25" max="16384" width="8.83203125" style="22"/>
  </cols>
  <sheetData>
    <row r="1" spans="1:24" ht="16" x14ac:dyDescent="0.2">
      <c r="A1" s="20" t="s">
        <v>294</v>
      </c>
      <c r="B1" s="20" t="s">
        <v>295</v>
      </c>
      <c r="C1" s="20" t="s">
        <v>651</v>
      </c>
      <c r="D1" s="20" t="s">
        <v>650</v>
      </c>
      <c r="E1" s="20" t="s">
        <v>655</v>
      </c>
      <c r="F1" s="20" t="s">
        <v>138</v>
      </c>
      <c r="G1" s="20" t="s">
        <v>139</v>
      </c>
      <c r="H1" s="20" t="s">
        <v>140</v>
      </c>
      <c r="I1" s="20" t="s">
        <v>141</v>
      </c>
      <c r="J1" s="20" t="s">
        <v>142</v>
      </c>
      <c r="K1" s="20" t="s">
        <v>143</v>
      </c>
      <c r="L1" s="20" t="s">
        <v>144</v>
      </c>
      <c r="M1" s="20" t="s">
        <v>145</v>
      </c>
      <c r="N1" s="20" t="s">
        <v>146</v>
      </c>
      <c r="O1" s="20" t="s">
        <v>147</v>
      </c>
      <c r="P1" s="20" t="s">
        <v>148</v>
      </c>
      <c r="Q1" s="20" t="s">
        <v>149</v>
      </c>
      <c r="R1" s="20" t="s">
        <v>150</v>
      </c>
      <c r="S1" s="20" t="s">
        <v>151</v>
      </c>
      <c r="T1" s="20" t="s">
        <v>152</v>
      </c>
      <c r="U1" s="34" t="s">
        <v>648</v>
      </c>
      <c r="V1" s="34" t="s">
        <v>654</v>
      </c>
      <c r="W1" s="34" t="s">
        <v>653</v>
      </c>
      <c r="X1" s="44" t="s">
        <v>285</v>
      </c>
    </row>
    <row r="2" spans="1:24" ht="16" x14ac:dyDescent="0.2">
      <c r="A2" s="25" t="s">
        <v>297</v>
      </c>
      <c r="B2" s="26" t="s">
        <v>298</v>
      </c>
      <c r="C2" s="25" t="s">
        <v>647</v>
      </c>
      <c r="D2" s="26"/>
      <c r="E2" s="25" t="s">
        <v>299</v>
      </c>
      <c r="F2" s="39" t="s">
        <v>299</v>
      </c>
      <c r="G2" s="39" t="s">
        <v>299</v>
      </c>
      <c r="H2" s="39" t="s">
        <v>299</v>
      </c>
      <c r="I2" s="39" t="s">
        <v>299</v>
      </c>
      <c r="J2" s="39" t="s">
        <v>299</v>
      </c>
      <c r="K2" s="38" t="s">
        <v>652</v>
      </c>
      <c r="L2" s="38" t="s">
        <v>652</v>
      </c>
      <c r="M2" s="39" t="s">
        <v>299</v>
      </c>
      <c r="N2" s="38" t="s">
        <v>652</v>
      </c>
      <c r="O2" s="39" t="s">
        <v>299</v>
      </c>
      <c r="P2" s="39" t="s">
        <v>299</v>
      </c>
      <c r="Q2" s="38" t="s">
        <v>652</v>
      </c>
      <c r="R2" s="38" t="s">
        <v>652</v>
      </c>
      <c r="S2" s="25"/>
      <c r="T2" s="25"/>
      <c r="U2" s="22">
        <f>COUNTIF(F2:T2, "FP")</f>
        <v>8</v>
      </c>
      <c r="V2" s="22">
        <f>COUNTIF(F2:T2, "XX")</f>
        <v>5</v>
      </c>
      <c r="W2" s="22">
        <f>U2+V2</f>
        <v>13</v>
      </c>
      <c r="X2" s="37" t="s">
        <v>254</v>
      </c>
    </row>
    <row r="3" spans="1:24" s="40" customFormat="1" x14ac:dyDescent="0.2">
      <c r="A3" s="42" t="s">
        <v>300</v>
      </c>
      <c r="B3" s="43" t="s">
        <v>301</v>
      </c>
      <c r="C3" s="42" t="s">
        <v>646</v>
      </c>
      <c r="D3" s="43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0">
        <f>COUNTIF(F3:T3, "FP")</f>
        <v>0</v>
      </c>
      <c r="V3" s="40">
        <f>COUNTIF(F3:T3, "XX")</f>
        <v>0</v>
      </c>
      <c r="W3" s="40">
        <f>U3+V3</f>
        <v>0</v>
      </c>
      <c r="X3" s="40" t="s">
        <v>255</v>
      </c>
    </row>
    <row r="4" spans="1:24" ht="16" x14ac:dyDescent="0.2">
      <c r="A4" s="25" t="s">
        <v>302</v>
      </c>
      <c r="B4" s="26" t="s">
        <v>303</v>
      </c>
      <c r="C4" s="25" t="s">
        <v>645</v>
      </c>
      <c r="D4" s="26"/>
      <c r="E4" s="25" t="s">
        <v>299</v>
      </c>
      <c r="F4" s="39" t="s">
        <v>299</v>
      </c>
      <c r="G4" s="25"/>
      <c r="H4" s="25"/>
      <c r="I4" s="25"/>
      <c r="J4" s="39" t="s">
        <v>299</v>
      </c>
      <c r="K4" s="25"/>
      <c r="L4" s="38" t="s">
        <v>652</v>
      </c>
      <c r="M4" s="39" t="s">
        <v>299</v>
      </c>
      <c r="N4" s="25"/>
      <c r="O4" s="25"/>
      <c r="P4" s="25"/>
      <c r="Q4" s="38" t="s">
        <v>652</v>
      </c>
      <c r="R4" s="25"/>
      <c r="S4" s="25"/>
      <c r="T4" s="25"/>
      <c r="U4" s="22">
        <f>COUNTIF(F4:T4, "FP")</f>
        <v>3</v>
      </c>
      <c r="V4" s="22">
        <f>COUNTIF(F4:T4, "XX")</f>
        <v>2</v>
      </c>
      <c r="W4" s="22">
        <f>U4+V4</f>
        <v>5</v>
      </c>
      <c r="X4" s="37" t="s">
        <v>255</v>
      </c>
    </row>
    <row r="5" spans="1:24" ht="16" x14ac:dyDescent="0.2">
      <c r="A5" s="25" t="s">
        <v>304</v>
      </c>
      <c r="B5" s="26" t="s">
        <v>305</v>
      </c>
      <c r="C5" s="25" t="s">
        <v>644</v>
      </c>
      <c r="D5" s="26"/>
      <c r="E5" s="25" t="s">
        <v>299</v>
      </c>
      <c r="F5" s="39" t="s">
        <v>299</v>
      </c>
      <c r="G5" s="39" t="s">
        <v>299</v>
      </c>
      <c r="H5" s="25"/>
      <c r="I5" s="39" t="s">
        <v>299</v>
      </c>
      <c r="J5" s="38" t="s">
        <v>652</v>
      </c>
      <c r="K5" s="38" t="s">
        <v>652</v>
      </c>
      <c r="L5" s="38" t="s">
        <v>652</v>
      </c>
      <c r="M5" s="25"/>
      <c r="N5" s="25"/>
      <c r="O5" s="25"/>
      <c r="P5" s="25"/>
      <c r="Q5" s="25"/>
      <c r="R5" s="25"/>
      <c r="S5" s="25"/>
      <c r="T5" s="25"/>
      <c r="U5" s="22">
        <f>COUNTIF(F5:T5, "FP")</f>
        <v>3</v>
      </c>
      <c r="V5" s="22">
        <f>COUNTIF(F5:T5, "XX")</f>
        <v>3</v>
      </c>
      <c r="W5" s="22">
        <f>U5+V5</f>
        <v>6</v>
      </c>
      <c r="X5" s="37" t="s">
        <v>255</v>
      </c>
    </row>
    <row r="6" spans="1:24" ht="16" x14ac:dyDescent="0.2">
      <c r="A6" s="25" t="s">
        <v>306</v>
      </c>
      <c r="B6" s="26" t="s">
        <v>307</v>
      </c>
      <c r="C6" s="25" t="s">
        <v>643</v>
      </c>
      <c r="D6" s="26"/>
      <c r="E6" s="25" t="s">
        <v>299</v>
      </c>
      <c r="F6" s="38" t="s">
        <v>652</v>
      </c>
      <c r="G6" s="25"/>
      <c r="H6" s="38" t="s">
        <v>652</v>
      </c>
      <c r="I6" s="25"/>
      <c r="J6" s="38" t="s">
        <v>652</v>
      </c>
      <c r="K6" s="38" t="s">
        <v>652</v>
      </c>
      <c r="L6" s="38" t="s">
        <v>652</v>
      </c>
      <c r="M6" s="38" t="s">
        <v>652</v>
      </c>
      <c r="N6" s="25"/>
      <c r="O6" s="25"/>
      <c r="P6" s="25"/>
      <c r="Q6" s="25"/>
      <c r="R6" s="38" t="s">
        <v>652</v>
      </c>
      <c r="S6" s="25"/>
      <c r="T6" s="25"/>
      <c r="U6" s="22">
        <f>COUNTIF(F6:T6, "FP")</f>
        <v>0</v>
      </c>
      <c r="V6" s="22">
        <f>COUNTIF(F6:T6, "XX")</f>
        <v>7</v>
      </c>
      <c r="W6" s="22">
        <f>U6+V6</f>
        <v>7</v>
      </c>
      <c r="X6" s="37" t="s">
        <v>256</v>
      </c>
    </row>
    <row r="7" spans="1:24" ht="16" x14ac:dyDescent="0.2">
      <c r="A7" s="25" t="s">
        <v>308</v>
      </c>
      <c r="B7" s="26" t="s">
        <v>309</v>
      </c>
      <c r="C7" s="25" t="s">
        <v>642</v>
      </c>
      <c r="D7" s="26"/>
      <c r="E7" s="25" t="s">
        <v>299</v>
      </c>
      <c r="F7" s="39" t="s">
        <v>299</v>
      </c>
      <c r="G7" s="38" t="s">
        <v>652</v>
      </c>
      <c r="H7" s="25"/>
      <c r="I7" s="39" t="s">
        <v>299</v>
      </c>
      <c r="J7" s="38" t="s">
        <v>652</v>
      </c>
      <c r="K7" s="38" t="s">
        <v>652</v>
      </c>
      <c r="L7" s="38" t="s">
        <v>652</v>
      </c>
      <c r="M7" s="39" t="s">
        <v>299</v>
      </c>
      <c r="N7" s="25"/>
      <c r="O7" s="25"/>
      <c r="P7" s="25"/>
      <c r="Q7" s="25"/>
      <c r="R7" s="25"/>
      <c r="S7" s="25"/>
      <c r="T7" s="25"/>
      <c r="U7" s="22">
        <f>COUNTIF(F7:T7, "FP")</f>
        <v>3</v>
      </c>
      <c r="V7" s="22">
        <f>COUNTIF(F7:T7, "XX")</f>
        <v>4</v>
      </c>
      <c r="W7" s="22">
        <f>U7+V7</f>
        <v>7</v>
      </c>
      <c r="X7" s="37" t="s">
        <v>255</v>
      </c>
    </row>
    <row r="8" spans="1:24" ht="16" x14ac:dyDescent="0.2">
      <c r="A8" s="25" t="s">
        <v>310</v>
      </c>
      <c r="B8" s="26" t="s">
        <v>311</v>
      </c>
      <c r="C8" s="25" t="s">
        <v>641</v>
      </c>
      <c r="D8" s="26"/>
      <c r="E8" s="25" t="s">
        <v>299</v>
      </c>
      <c r="F8" s="39" t="s">
        <v>299</v>
      </c>
      <c r="G8" s="25"/>
      <c r="H8" s="39" t="s">
        <v>299</v>
      </c>
      <c r="I8" s="39" t="s">
        <v>299</v>
      </c>
      <c r="J8" s="38" t="s">
        <v>652</v>
      </c>
      <c r="K8" s="38" t="s">
        <v>652</v>
      </c>
      <c r="L8" s="38" t="s">
        <v>652</v>
      </c>
      <c r="M8" s="39" t="s">
        <v>299</v>
      </c>
      <c r="N8" s="25"/>
      <c r="O8" s="25"/>
      <c r="P8" s="25"/>
      <c r="Q8" s="38" t="s">
        <v>652</v>
      </c>
      <c r="R8" s="25"/>
      <c r="S8" s="25"/>
      <c r="T8" s="25"/>
      <c r="U8" s="22">
        <f>COUNTIF(F8:T8, "FP")</f>
        <v>4</v>
      </c>
      <c r="V8" s="22">
        <f>COUNTIF(F8:T8, "XX")</f>
        <v>4</v>
      </c>
      <c r="W8" s="22">
        <f>U8+V8</f>
        <v>8</v>
      </c>
      <c r="X8" s="37" t="s">
        <v>255</v>
      </c>
    </row>
    <row r="9" spans="1:24" ht="16" x14ac:dyDescent="0.2">
      <c r="A9" s="25" t="s">
        <v>312</v>
      </c>
      <c r="B9" s="26" t="s">
        <v>313</v>
      </c>
      <c r="C9" s="25" t="s">
        <v>640</v>
      </c>
      <c r="D9" s="26"/>
      <c r="E9" s="25" t="s">
        <v>299</v>
      </c>
      <c r="F9" s="39" t="s">
        <v>299</v>
      </c>
      <c r="G9" s="39" t="s">
        <v>299</v>
      </c>
      <c r="H9" s="39" t="s">
        <v>299</v>
      </c>
      <c r="I9" s="39" t="s">
        <v>299</v>
      </c>
      <c r="J9" s="39" t="s">
        <v>299</v>
      </c>
      <c r="K9" s="38" t="s">
        <v>652</v>
      </c>
      <c r="L9" s="38" t="s">
        <v>652</v>
      </c>
      <c r="M9" s="39" t="s">
        <v>299</v>
      </c>
      <c r="N9" s="25"/>
      <c r="O9" s="25"/>
      <c r="P9" s="25"/>
      <c r="Q9" s="38" t="s">
        <v>652</v>
      </c>
      <c r="R9" s="25"/>
      <c r="S9" s="25"/>
      <c r="T9" s="25"/>
      <c r="U9" s="22">
        <f>COUNTIF(F9:T9, "FP")</f>
        <v>6</v>
      </c>
      <c r="V9" s="22">
        <f>COUNTIF(F9:T9, "XX")</f>
        <v>3</v>
      </c>
      <c r="W9" s="22">
        <f>U9+V9</f>
        <v>9</v>
      </c>
      <c r="X9" s="37" t="s">
        <v>255</v>
      </c>
    </row>
    <row r="10" spans="1:24" ht="16" x14ac:dyDescent="0.2">
      <c r="A10" s="25" t="s">
        <v>314</v>
      </c>
      <c r="B10" s="26" t="s">
        <v>315</v>
      </c>
      <c r="C10" s="25" t="s">
        <v>639</v>
      </c>
      <c r="D10" s="26"/>
      <c r="E10" s="25" t="s">
        <v>299</v>
      </c>
      <c r="F10" s="39" t="s">
        <v>299</v>
      </c>
      <c r="G10" s="25"/>
      <c r="H10" s="38" t="s">
        <v>652</v>
      </c>
      <c r="I10" s="39" t="s">
        <v>299</v>
      </c>
      <c r="J10" s="39" t="s">
        <v>299</v>
      </c>
      <c r="K10" s="25"/>
      <c r="L10" s="38" t="s">
        <v>652</v>
      </c>
      <c r="M10" s="39" t="s">
        <v>299</v>
      </c>
      <c r="N10" s="25"/>
      <c r="O10" s="25"/>
      <c r="P10" s="25"/>
      <c r="Q10" s="38" t="s">
        <v>652</v>
      </c>
      <c r="R10" s="25"/>
      <c r="S10" s="25"/>
      <c r="T10" s="25"/>
      <c r="U10" s="22">
        <f>COUNTIF(F10:T10, "FP")</f>
        <v>4</v>
      </c>
      <c r="V10" s="22">
        <f>COUNTIF(F10:T10, "XX")</f>
        <v>3</v>
      </c>
      <c r="W10" s="22">
        <f>U10+V10</f>
        <v>7</v>
      </c>
      <c r="X10" s="37" t="s">
        <v>255</v>
      </c>
    </row>
    <row r="11" spans="1:24" ht="16" x14ac:dyDescent="0.2">
      <c r="A11" s="25" t="s">
        <v>316</v>
      </c>
      <c r="B11" s="26" t="s">
        <v>317</v>
      </c>
      <c r="C11" s="25" t="s">
        <v>638</v>
      </c>
      <c r="D11" s="26"/>
      <c r="E11" s="25" t="s">
        <v>299</v>
      </c>
      <c r="F11" s="38" t="s">
        <v>652</v>
      </c>
      <c r="G11" s="25"/>
      <c r="H11" s="38" t="s">
        <v>652</v>
      </c>
      <c r="I11" s="25"/>
      <c r="J11" s="38" t="s">
        <v>652</v>
      </c>
      <c r="K11" s="38" t="s">
        <v>652</v>
      </c>
      <c r="L11" s="38" t="s">
        <v>652</v>
      </c>
      <c r="M11" s="38" t="s">
        <v>652</v>
      </c>
      <c r="N11" s="25"/>
      <c r="O11" s="25"/>
      <c r="P11" s="25"/>
      <c r="Q11" s="25"/>
      <c r="R11" s="38" t="s">
        <v>652</v>
      </c>
      <c r="S11" s="25"/>
      <c r="T11" s="25"/>
      <c r="U11" s="22">
        <f>COUNTIF(F11:T11, "FP")</f>
        <v>0</v>
      </c>
      <c r="V11" s="22">
        <f>COUNTIF(F11:T11, "XX")</f>
        <v>7</v>
      </c>
      <c r="W11" s="22">
        <f>U11+V11</f>
        <v>7</v>
      </c>
      <c r="X11" s="37" t="s">
        <v>256</v>
      </c>
    </row>
    <row r="12" spans="1:24" ht="16" x14ac:dyDescent="0.2">
      <c r="A12" s="25" t="s">
        <v>318</v>
      </c>
      <c r="B12" s="26" t="s">
        <v>319</v>
      </c>
      <c r="C12" s="25" t="s">
        <v>637</v>
      </c>
      <c r="D12" s="26"/>
      <c r="E12" s="25" t="s">
        <v>299</v>
      </c>
      <c r="F12" s="39" t="s">
        <v>299</v>
      </c>
      <c r="G12" s="38" t="s">
        <v>652</v>
      </c>
      <c r="H12" s="39" t="s">
        <v>299</v>
      </c>
      <c r="I12" s="38" t="s">
        <v>652</v>
      </c>
      <c r="J12" s="38" t="s">
        <v>652</v>
      </c>
      <c r="K12" s="38" t="s">
        <v>652</v>
      </c>
      <c r="L12" s="38" t="s">
        <v>652</v>
      </c>
      <c r="M12" s="39" t="s">
        <v>299</v>
      </c>
      <c r="N12" s="25"/>
      <c r="O12" s="38" t="s">
        <v>652</v>
      </c>
      <c r="P12" s="25"/>
      <c r="Q12" s="38" t="s">
        <v>652</v>
      </c>
      <c r="R12" s="39" t="s">
        <v>299</v>
      </c>
      <c r="S12" s="25"/>
      <c r="T12" s="25"/>
      <c r="U12" s="22">
        <f>COUNTIF(F12:T12, "FP")</f>
        <v>4</v>
      </c>
      <c r="V12" s="22">
        <f>COUNTIF(F12:T12, "XX")</f>
        <v>7</v>
      </c>
      <c r="W12" s="22">
        <f>U12+V12</f>
        <v>11</v>
      </c>
      <c r="X12" s="37" t="s">
        <v>254</v>
      </c>
    </row>
    <row r="13" spans="1:24" ht="16" x14ac:dyDescent="0.2">
      <c r="A13" s="25" t="s">
        <v>320</v>
      </c>
      <c r="B13" s="26" t="s">
        <v>321</v>
      </c>
      <c r="C13" s="25" t="s">
        <v>636</v>
      </c>
      <c r="D13" s="26"/>
      <c r="E13" s="25" t="s">
        <v>299</v>
      </c>
      <c r="F13" s="39" t="s">
        <v>299</v>
      </c>
      <c r="G13" s="25"/>
      <c r="H13" s="25"/>
      <c r="I13" s="25"/>
      <c r="J13" s="39" t="s">
        <v>299</v>
      </c>
      <c r="K13" s="25"/>
      <c r="L13" s="38" t="s">
        <v>652</v>
      </c>
      <c r="M13" s="39" t="s">
        <v>299</v>
      </c>
      <c r="N13" s="25"/>
      <c r="O13" s="25"/>
      <c r="P13" s="25"/>
      <c r="Q13" s="38" t="s">
        <v>652</v>
      </c>
      <c r="R13" s="25"/>
      <c r="S13" s="25"/>
      <c r="T13" s="25"/>
      <c r="U13" s="22">
        <f>COUNTIF(F13:T13, "FP")</f>
        <v>3</v>
      </c>
      <c r="V13" s="22">
        <f>COUNTIF(F13:T13, "XX")</f>
        <v>2</v>
      </c>
      <c r="W13" s="22">
        <f>U13+V13</f>
        <v>5</v>
      </c>
      <c r="X13" s="37" t="s">
        <v>255</v>
      </c>
    </row>
    <row r="14" spans="1:24" ht="16" x14ac:dyDescent="0.2">
      <c r="A14" s="25" t="s">
        <v>322</v>
      </c>
      <c r="B14" s="26" t="s">
        <v>323</v>
      </c>
      <c r="C14" s="25" t="s">
        <v>635</v>
      </c>
      <c r="D14" s="26"/>
      <c r="E14" s="25" t="s">
        <v>299</v>
      </c>
      <c r="F14" s="39" t="s">
        <v>299</v>
      </c>
      <c r="G14" s="25"/>
      <c r="H14" s="39" t="s">
        <v>299</v>
      </c>
      <c r="I14" s="39" t="s">
        <v>299</v>
      </c>
      <c r="J14" s="38" t="s">
        <v>652</v>
      </c>
      <c r="K14" s="38" t="s">
        <v>652</v>
      </c>
      <c r="L14" s="38" t="s">
        <v>652</v>
      </c>
      <c r="M14" s="39" t="s">
        <v>299</v>
      </c>
      <c r="N14" s="38" t="s">
        <v>652</v>
      </c>
      <c r="O14" s="39" t="s">
        <v>299</v>
      </c>
      <c r="P14" s="38" t="s">
        <v>652</v>
      </c>
      <c r="Q14" s="38" t="s">
        <v>652</v>
      </c>
      <c r="R14" s="38" t="s">
        <v>652</v>
      </c>
      <c r="S14" s="25"/>
      <c r="T14" s="25"/>
      <c r="U14" s="22">
        <f>COUNTIF(F14:T14, "FP")</f>
        <v>5</v>
      </c>
      <c r="V14" s="22">
        <f>COUNTIF(F14:T14, "XX")</f>
        <v>7</v>
      </c>
      <c r="W14" s="22">
        <f>U14+V14</f>
        <v>12</v>
      </c>
      <c r="X14" s="37" t="s">
        <v>254</v>
      </c>
    </row>
    <row r="15" spans="1:24" ht="16" x14ac:dyDescent="0.2">
      <c r="A15" s="25" t="s">
        <v>324</v>
      </c>
      <c r="B15" s="26" t="s">
        <v>325</v>
      </c>
      <c r="C15" s="25" t="s">
        <v>634</v>
      </c>
      <c r="D15" s="26"/>
      <c r="E15" s="25" t="s">
        <v>299</v>
      </c>
      <c r="F15" s="39" t="s">
        <v>299</v>
      </c>
      <c r="G15" s="38" t="s">
        <v>652</v>
      </c>
      <c r="H15" s="38" t="s">
        <v>652</v>
      </c>
      <c r="I15" s="39" t="s">
        <v>299</v>
      </c>
      <c r="J15" s="39" t="s">
        <v>299</v>
      </c>
      <c r="K15" s="38" t="s">
        <v>652</v>
      </c>
      <c r="L15" s="38" t="s">
        <v>652</v>
      </c>
      <c r="M15" s="39" t="s">
        <v>299</v>
      </c>
      <c r="N15" s="25"/>
      <c r="O15" s="39" t="s">
        <v>299</v>
      </c>
      <c r="P15" s="25"/>
      <c r="Q15" s="38" t="s">
        <v>652</v>
      </c>
      <c r="R15" s="38" t="s">
        <v>652</v>
      </c>
      <c r="S15" s="25"/>
      <c r="T15" s="25"/>
      <c r="U15" s="22">
        <f>COUNTIF(F15:T15, "FP")</f>
        <v>5</v>
      </c>
      <c r="V15" s="22">
        <f>COUNTIF(F15:T15, "XX")</f>
        <v>6</v>
      </c>
      <c r="W15" s="22">
        <f>U15+V15</f>
        <v>11</v>
      </c>
      <c r="X15" s="37" t="s">
        <v>257</v>
      </c>
    </row>
    <row r="16" spans="1:24" ht="16" x14ac:dyDescent="0.2">
      <c r="A16" s="25" t="s">
        <v>326</v>
      </c>
      <c r="B16" s="26" t="s">
        <v>327</v>
      </c>
      <c r="C16" s="25" t="s">
        <v>633</v>
      </c>
      <c r="D16" s="26"/>
      <c r="E16" s="25" t="s">
        <v>299</v>
      </c>
      <c r="F16" s="39" t="s">
        <v>299</v>
      </c>
      <c r="G16" s="38" t="s">
        <v>652</v>
      </c>
      <c r="H16" s="39" t="s">
        <v>299</v>
      </c>
      <c r="I16" s="39" t="s">
        <v>299</v>
      </c>
      <c r="J16" s="38" t="s">
        <v>652</v>
      </c>
      <c r="K16" s="38" t="s">
        <v>652</v>
      </c>
      <c r="L16" s="38" t="s">
        <v>652</v>
      </c>
      <c r="M16" s="39" t="s">
        <v>299</v>
      </c>
      <c r="N16" s="25"/>
      <c r="O16" s="38" t="s">
        <v>652</v>
      </c>
      <c r="P16" s="25"/>
      <c r="Q16" s="38" t="s">
        <v>652</v>
      </c>
      <c r="R16" s="38" t="s">
        <v>652</v>
      </c>
      <c r="S16" s="25"/>
      <c r="T16" s="25"/>
      <c r="U16" s="22">
        <f>COUNTIF(F16:T16, "FP")</f>
        <v>4</v>
      </c>
      <c r="V16" s="22">
        <f>COUNTIF(F16:T16, "XX")</f>
        <v>7</v>
      </c>
      <c r="W16" s="22">
        <f>U16+V16</f>
        <v>11</v>
      </c>
      <c r="X16" s="37" t="s">
        <v>256</v>
      </c>
    </row>
    <row r="17" spans="1:24" ht="16" x14ac:dyDescent="0.2">
      <c r="A17" s="25" t="s">
        <v>328</v>
      </c>
      <c r="B17" s="26" t="s">
        <v>329</v>
      </c>
      <c r="C17" s="25" t="s">
        <v>632</v>
      </c>
      <c r="D17" s="26"/>
      <c r="E17" s="25" t="s">
        <v>299</v>
      </c>
      <c r="F17" s="39" t="s">
        <v>299</v>
      </c>
      <c r="G17" s="25"/>
      <c r="H17" s="39" t="s">
        <v>299</v>
      </c>
      <c r="I17" s="39" t="s">
        <v>299</v>
      </c>
      <c r="J17" s="39" t="s">
        <v>299</v>
      </c>
      <c r="K17" s="25"/>
      <c r="L17" s="38" t="s">
        <v>652</v>
      </c>
      <c r="M17" s="39" t="s">
        <v>299</v>
      </c>
      <c r="N17" s="25"/>
      <c r="O17" s="25"/>
      <c r="P17" s="25"/>
      <c r="Q17" s="25"/>
      <c r="R17" s="25"/>
      <c r="S17" s="25"/>
      <c r="T17" s="25"/>
      <c r="U17" s="22">
        <f>COUNTIF(F17:T17, "FP")</f>
        <v>5</v>
      </c>
      <c r="V17" s="22">
        <f>COUNTIF(F17:T17, "XX")</f>
        <v>1</v>
      </c>
      <c r="W17" s="22">
        <f>U17+V17</f>
        <v>6</v>
      </c>
      <c r="X17" s="37" t="s">
        <v>255</v>
      </c>
    </row>
    <row r="18" spans="1:24" ht="16" x14ac:dyDescent="0.2">
      <c r="A18" s="25" t="s">
        <v>330</v>
      </c>
      <c r="B18" s="26" t="s">
        <v>331</v>
      </c>
      <c r="C18" s="25" t="s">
        <v>631</v>
      </c>
      <c r="D18" s="26"/>
      <c r="E18" s="25" t="s">
        <v>299</v>
      </c>
      <c r="F18" s="39" t="s">
        <v>299</v>
      </c>
      <c r="G18" s="25"/>
      <c r="H18" s="25"/>
      <c r="I18" s="39" t="s">
        <v>299</v>
      </c>
      <c r="J18" s="39" t="s">
        <v>299</v>
      </c>
      <c r="K18" s="38" t="s">
        <v>652</v>
      </c>
      <c r="L18" s="38" t="s">
        <v>652</v>
      </c>
      <c r="M18" s="39" t="s">
        <v>299</v>
      </c>
      <c r="N18" s="25"/>
      <c r="O18" s="25"/>
      <c r="P18" s="25"/>
      <c r="Q18" s="25"/>
      <c r="R18" s="25"/>
      <c r="S18" s="25"/>
      <c r="T18" s="25"/>
      <c r="U18" s="22">
        <f>COUNTIF(F18:T18, "FP")</f>
        <v>4</v>
      </c>
      <c r="V18" s="22">
        <f>COUNTIF(F18:T18, "XX")</f>
        <v>2</v>
      </c>
      <c r="W18" s="22">
        <f>U18+V18</f>
        <v>6</v>
      </c>
      <c r="X18" s="37" t="s">
        <v>255</v>
      </c>
    </row>
    <row r="19" spans="1:24" ht="16" x14ac:dyDescent="0.2">
      <c r="A19" s="25" t="s">
        <v>332</v>
      </c>
      <c r="B19" s="26" t="s">
        <v>333</v>
      </c>
      <c r="C19" s="25" t="s">
        <v>630</v>
      </c>
      <c r="D19" s="26"/>
      <c r="E19" s="25" t="s">
        <v>299</v>
      </c>
      <c r="F19" s="38" t="s">
        <v>652</v>
      </c>
      <c r="G19" s="38" t="s">
        <v>652</v>
      </c>
      <c r="H19" s="38" t="s">
        <v>652</v>
      </c>
      <c r="I19" s="38" t="s">
        <v>652</v>
      </c>
      <c r="J19" s="38" t="s">
        <v>652</v>
      </c>
      <c r="K19" s="38" t="s">
        <v>652</v>
      </c>
      <c r="L19" s="38" t="s">
        <v>652</v>
      </c>
      <c r="M19" s="38" t="s">
        <v>652</v>
      </c>
      <c r="N19" s="25"/>
      <c r="O19" s="38" t="s">
        <v>652</v>
      </c>
      <c r="P19" s="25"/>
      <c r="Q19" s="25"/>
      <c r="R19" s="25"/>
      <c r="S19" s="25"/>
      <c r="T19" s="25"/>
      <c r="U19" s="22">
        <f>COUNTIF(F19:T19, "FP")</f>
        <v>0</v>
      </c>
      <c r="V19" s="22">
        <f>COUNTIF(F19:T19, "XX")</f>
        <v>9</v>
      </c>
      <c r="W19" s="22">
        <f>U19+V19</f>
        <v>9</v>
      </c>
      <c r="X19" s="37" t="s">
        <v>256</v>
      </c>
    </row>
    <row r="20" spans="1:24" ht="16" x14ac:dyDescent="0.2">
      <c r="A20" s="25" t="s">
        <v>334</v>
      </c>
      <c r="B20" s="26" t="s">
        <v>335</v>
      </c>
      <c r="C20" s="25" t="s">
        <v>629</v>
      </c>
      <c r="D20" s="26"/>
      <c r="E20" s="25" t="s">
        <v>299</v>
      </c>
      <c r="F20" s="39" t="s">
        <v>299</v>
      </c>
      <c r="G20" s="39" t="s">
        <v>299</v>
      </c>
      <c r="H20" s="25"/>
      <c r="I20" s="25"/>
      <c r="J20" s="39" t="s">
        <v>299</v>
      </c>
      <c r="K20" s="25"/>
      <c r="L20" s="38" t="s">
        <v>652</v>
      </c>
      <c r="M20" s="39" t="s">
        <v>299</v>
      </c>
      <c r="N20" s="25"/>
      <c r="O20" s="25"/>
      <c r="P20" s="25"/>
      <c r="Q20" s="25"/>
      <c r="R20" s="25"/>
      <c r="S20" s="25"/>
      <c r="T20" s="25"/>
      <c r="U20" s="22">
        <f>COUNTIF(F20:T20, "FP")</f>
        <v>4</v>
      </c>
      <c r="V20" s="22">
        <f>COUNTIF(F20:T20, "XX")</f>
        <v>1</v>
      </c>
      <c r="W20" s="22">
        <f>U20+V20</f>
        <v>5</v>
      </c>
      <c r="X20" s="37" t="s">
        <v>255</v>
      </c>
    </row>
    <row r="21" spans="1:24" ht="16" x14ac:dyDescent="0.2">
      <c r="A21" s="25" t="s">
        <v>336</v>
      </c>
      <c r="B21" s="26" t="s">
        <v>337</v>
      </c>
      <c r="C21" s="25" t="s">
        <v>628</v>
      </c>
      <c r="D21" s="26"/>
      <c r="E21" s="25" t="s">
        <v>299</v>
      </c>
      <c r="F21" s="38" t="s">
        <v>652</v>
      </c>
      <c r="G21" s="25"/>
      <c r="H21" s="38" t="s">
        <v>652</v>
      </c>
      <c r="I21" s="25"/>
      <c r="J21" s="38" t="s">
        <v>652</v>
      </c>
      <c r="K21" s="25"/>
      <c r="L21" s="38" t="s">
        <v>652</v>
      </c>
      <c r="M21" s="39" t="s">
        <v>299</v>
      </c>
      <c r="N21" s="25"/>
      <c r="O21" s="25"/>
      <c r="P21" s="25"/>
      <c r="Q21" s="25"/>
      <c r="R21" s="25"/>
      <c r="S21" s="25"/>
      <c r="T21" s="25"/>
      <c r="U21" s="22">
        <f>COUNTIF(F21:T21, "FP")</f>
        <v>1</v>
      </c>
      <c r="V21" s="22">
        <f>COUNTIF(F21:T21, "XX")</f>
        <v>4</v>
      </c>
      <c r="W21" s="22">
        <f>U21+V21</f>
        <v>5</v>
      </c>
      <c r="X21" s="37" t="s">
        <v>255</v>
      </c>
    </row>
    <row r="22" spans="1:24" ht="16" x14ac:dyDescent="0.2">
      <c r="A22" s="25" t="s">
        <v>338</v>
      </c>
      <c r="B22" s="26" t="s">
        <v>339</v>
      </c>
      <c r="C22" s="25" t="s">
        <v>627</v>
      </c>
      <c r="D22" s="26"/>
      <c r="E22" s="25" t="s">
        <v>299</v>
      </c>
      <c r="F22" s="39" t="s">
        <v>299</v>
      </c>
      <c r="G22" s="38" t="s">
        <v>652</v>
      </c>
      <c r="H22" s="39" t="s">
        <v>299</v>
      </c>
      <c r="I22" s="39" t="s">
        <v>299</v>
      </c>
      <c r="J22" s="38" t="s">
        <v>652</v>
      </c>
      <c r="K22" s="38" t="s">
        <v>652</v>
      </c>
      <c r="L22" s="38" t="s">
        <v>652</v>
      </c>
      <c r="M22" s="39" t="s">
        <v>299</v>
      </c>
      <c r="N22" s="25"/>
      <c r="O22" s="38" t="s">
        <v>652</v>
      </c>
      <c r="P22" s="25"/>
      <c r="Q22" s="38" t="s">
        <v>652</v>
      </c>
      <c r="R22" s="25"/>
      <c r="S22" s="25"/>
      <c r="T22" s="25"/>
      <c r="U22" s="22">
        <f>COUNTIF(F22:T22, "FP")</f>
        <v>4</v>
      </c>
      <c r="V22" s="22">
        <f>COUNTIF(F22:T22, "XX")</f>
        <v>6</v>
      </c>
      <c r="W22" s="22">
        <f>U22+V22</f>
        <v>10</v>
      </c>
      <c r="X22" s="37" t="s">
        <v>256</v>
      </c>
    </row>
    <row r="23" spans="1:24" ht="16" x14ac:dyDescent="0.2">
      <c r="A23" s="25" t="s">
        <v>340</v>
      </c>
      <c r="B23" s="26" t="s">
        <v>341</v>
      </c>
      <c r="C23" s="25" t="s">
        <v>626</v>
      </c>
      <c r="D23" s="26"/>
      <c r="E23" s="25" t="s">
        <v>299</v>
      </c>
      <c r="F23" s="38" t="s">
        <v>652</v>
      </c>
      <c r="G23" s="38" t="s">
        <v>652</v>
      </c>
      <c r="H23" s="38" t="s">
        <v>652</v>
      </c>
      <c r="I23" s="38" t="s">
        <v>652</v>
      </c>
      <c r="J23" s="38" t="s">
        <v>652</v>
      </c>
      <c r="K23" s="38" t="s">
        <v>652</v>
      </c>
      <c r="L23" s="38" t="s">
        <v>652</v>
      </c>
      <c r="M23" s="38" t="s">
        <v>652</v>
      </c>
      <c r="N23" s="38" t="s">
        <v>652</v>
      </c>
      <c r="O23" s="38" t="s">
        <v>652</v>
      </c>
      <c r="P23" s="38" t="s">
        <v>652</v>
      </c>
      <c r="Q23" s="38" t="s">
        <v>652</v>
      </c>
      <c r="R23" s="38" t="s">
        <v>652</v>
      </c>
      <c r="S23" s="38" t="s">
        <v>652</v>
      </c>
      <c r="T23" s="25"/>
      <c r="U23" s="22">
        <f>COUNTIF(F23:T23, "FP")</f>
        <v>0</v>
      </c>
      <c r="V23" s="22">
        <f>COUNTIF(F23:T23, "XX")</f>
        <v>14</v>
      </c>
      <c r="W23" s="22">
        <f>U23+V23</f>
        <v>14</v>
      </c>
      <c r="X23" s="37" t="s">
        <v>258</v>
      </c>
    </row>
    <row r="24" spans="1:24" ht="16" x14ac:dyDescent="0.2">
      <c r="A24" s="25" t="s">
        <v>342</v>
      </c>
      <c r="B24" s="26" t="s">
        <v>343</v>
      </c>
      <c r="C24" s="25" t="s">
        <v>625</v>
      </c>
      <c r="D24" s="26"/>
      <c r="E24" s="25" t="s">
        <v>299</v>
      </c>
      <c r="F24" s="39" t="s">
        <v>299</v>
      </c>
      <c r="G24" s="25"/>
      <c r="H24" s="25"/>
      <c r="I24" s="39" t="s">
        <v>299</v>
      </c>
      <c r="J24" s="39" t="s">
        <v>299</v>
      </c>
      <c r="K24" s="38" t="s">
        <v>652</v>
      </c>
      <c r="L24" s="38" t="s">
        <v>652</v>
      </c>
      <c r="M24" s="39" t="s">
        <v>299</v>
      </c>
      <c r="N24" s="25"/>
      <c r="O24" s="25"/>
      <c r="P24" s="38" t="s">
        <v>652</v>
      </c>
      <c r="Q24" s="38" t="s">
        <v>652</v>
      </c>
      <c r="R24" s="25"/>
      <c r="S24" s="25"/>
      <c r="T24" s="25"/>
      <c r="U24" s="22">
        <f>COUNTIF(F24:T24, "FP")</f>
        <v>4</v>
      </c>
      <c r="V24" s="22">
        <f>COUNTIF(F24:T24, "XX")</f>
        <v>4</v>
      </c>
      <c r="W24" s="22">
        <f>U24+V24</f>
        <v>8</v>
      </c>
      <c r="X24" s="37" t="s">
        <v>255</v>
      </c>
    </row>
    <row r="25" spans="1:24" ht="16" x14ac:dyDescent="0.2">
      <c r="A25" s="25" t="s">
        <v>344</v>
      </c>
      <c r="B25" s="26" t="s">
        <v>345</v>
      </c>
      <c r="C25" s="25" t="s">
        <v>624</v>
      </c>
      <c r="D25" s="26"/>
      <c r="E25" s="25" t="s">
        <v>299</v>
      </c>
      <c r="F25" s="39" t="s">
        <v>299</v>
      </c>
      <c r="G25" s="39" t="s">
        <v>299</v>
      </c>
      <c r="H25" s="39" t="s">
        <v>299</v>
      </c>
      <c r="I25" s="38" t="s">
        <v>652</v>
      </c>
      <c r="J25" s="38" t="s">
        <v>652</v>
      </c>
      <c r="K25" s="38" t="s">
        <v>652</v>
      </c>
      <c r="L25" s="38" t="s">
        <v>652</v>
      </c>
      <c r="M25" s="39" t="s">
        <v>299</v>
      </c>
      <c r="N25" s="25"/>
      <c r="O25" s="25"/>
      <c r="P25" s="25"/>
      <c r="Q25" s="38" t="s">
        <v>652</v>
      </c>
      <c r="R25" s="25"/>
      <c r="S25" s="25"/>
      <c r="T25" s="25"/>
      <c r="U25" s="22">
        <f>COUNTIF(F25:T25, "FP")</f>
        <v>4</v>
      </c>
      <c r="V25" s="22">
        <f>COUNTIF(F25:T25, "XX")</f>
        <v>5</v>
      </c>
      <c r="W25" s="22">
        <f>U25+V25</f>
        <v>9</v>
      </c>
      <c r="X25" s="37" t="s">
        <v>255</v>
      </c>
    </row>
    <row r="26" spans="1:24" ht="16" x14ac:dyDescent="0.2">
      <c r="A26" s="25" t="s">
        <v>346</v>
      </c>
      <c r="B26" s="26" t="s">
        <v>347</v>
      </c>
      <c r="C26" s="25" t="s">
        <v>623</v>
      </c>
      <c r="D26" s="26"/>
      <c r="E26" s="25" t="s">
        <v>299</v>
      </c>
      <c r="F26" s="39" t="s">
        <v>299</v>
      </c>
      <c r="G26" s="38" t="s">
        <v>652</v>
      </c>
      <c r="H26" s="39" t="s">
        <v>299</v>
      </c>
      <c r="I26" s="38" t="s">
        <v>652</v>
      </c>
      <c r="J26" s="38" t="s">
        <v>652</v>
      </c>
      <c r="K26" s="38" t="s">
        <v>652</v>
      </c>
      <c r="L26" s="38" t="s">
        <v>652</v>
      </c>
      <c r="M26" s="39" t="s">
        <v>299</v>
      </c>
      <c r="N26" s="25"/>
      <c r="O26" s="38" t="s">
        <v>652</v>
      </c>
      <c r="P26" s="38" t="s">
        <v>652</v>
      </c>
      <c r="Q26" s="38" t="s">
        <v>652</v>
      </c>
      <c r="R26" s="25"/>
      <c r="S26" s="25"/>
      <c r="T26" s="25"/>
      <c r="U26" s="22">
        <f>COUNTIF(F26:T26, "FP")</f>
        <v>3</v>
      </c>
      <c r="V26" s="22">
        <f>COUNTIF(F26:T26, "XX")</f>
        <v>8</v>
      </c>
      <c r="W26" s="22">
        <f>U26+V26</f>
        <v>11</v>
      </c>
      <c r="X26" s="37" t="s">
        <v>256</v>
      </c>
    </row>
    <row r="27" spans="1:24" ht="16" x14ac:dyDescent="0.2">
      <c r="A27" s="25" t="s">
        <v>348</v>
      </c>
      <c r="B27" s="26" t="s">
        <v>349</v>
      </c>
      <c r="C27" s="25" t="s">
        <v>622</v>
      </c>
      <c r="D27" s="26"/>
      <c r="E27" s="25" t="s">
        <v>299</v>
      </c>
      <c r="F27" s="39" t="s">
        <v>299</v>
      </c>
      <c r="G27" s="25"/>
      <c r="H27" s="25"/>
      <c r="I27" s="25"/>
      <c r="J27" s="39" t="s">
        <v>299</v>
      </c>
      <c r="K27" s="25"/>
      <c r="L27" s="38" t="s">
        <v>652</v>
      </c>
      <c r="M27" s="39" t="s">
        <v>299</v>
      </c>
      <c r="N27" s="25"/>
      <c r="O27" s="25"/>
      <c r="P27" s="25"/>
      <c r="Q27" s="25"/>
      <c r="R27" s="25"/>
      <c r="S27" s="25"/>
      <c r="T27" s="25"/>
      <c r="U27" s="22">
        <f>COUNTIF(F27:T27, "FP")</f>
        <v>3</v>
      </c>
      <c r="V27" s="22">
        <f>COUNTIF(F27:T27, "XX")</f>
        <v>1</v>
      </c>
      <c r="W27" s="22">
        <f>U27+V27</f>
        <v>4</v>
      </c>
      <c r="X27" s="37" t="s">
        <v>255</v>
      </c>
    </row>
    <row r="28" spans="1:24" ht="16" x14ac:dyDescent="0.2">
      <c r="A28" s="25" t="s">
        <v>350</v>
      </c>
      <c r="B28" s="26" t="s">
        <v>351</v>
      </c>
      <c r="C28" s="25" t="s">
        <v>621</v>
      </c>
      <c r="D28" s="26"/>
      <c r="E28" s="25" t="s">
        <v>299</v>
      </c>
      <c r="F28" s="39" t="s">
        <v>299</v>
      </c>
      <c r="G28" s="25"/>
      <c r="H28" s="25"/>
      <c r="I28" s="38" t="s">
        <v>652</v>
      </c>
      <c r="J28" s="38" t="s">
        <v>652</v>
      </c>
      <c r="K28" s="38" t="s">
        <v>652</v>
      </c>
      <c r="L28" s="38" t="s">
        <v>652</v>
      </c>
      <c r="M28" s="39" t="s">
        <v>299</v>
      </c>
      <c r="N28" s="25"/>
      <c r="O28" s="39" t="s">
        <v>299</v>
      </c>
      <c r="P28" s="25"/>
      <c r="Q28" s="38" t="s">
        <v>652</v>
      </c>
      <c r="R28" s="25"/>
      <c r="S28" s="25"/>
      <c r="T28" s="25"/>
      <c r="U28" s="22">
        <f>COUNTIF(F28:T28, "FP")</f>
        <v>3</v>
      </c>
      <c r="V28" s="22">
        <f>COUNTIF(F28:T28, "XX")</f>
        <v>5</v>
      </c>
      <c r="W28" s="22">
        <f>U28+V28</f>
        <v>8</v>
      </c>
      <c r="X28" s="37" t="s">
        <v>255</v>
      </c>
    </row>
    <row r="29" spans="1:24" ht="16" x14ac:dyDescent="0.2">
      <c r="A29" s="25" t="s">
        <v>352</v>
      </c>
      <c r="B29" s="26" t="s">
        <v>353</v>
      </c>
      <c r="C29" s="25" t="s">
        <v>620</v>
      </c>
      <c r="D29" s="26"/>
      <c r="E29" s="25" t="s">
        <v>299</v>
      </c>
      <c r="F29" s="38" t="s">
        <v>652</v>
      </c>
      <c r="G29" s="38" t="s">
        <v>652</v>
      </c>
      <c r="H29" s="25"/>
      <c r="I29" s="25"/>
      <c r="J29" s="25"/>
      <c r="K29" s="25"/>
      <c r="L29" s="38" t="s">
        <v>652</v>
      </c>
      <c r="M29" s="25"/>
      <c r="N29" s="25"/>
      <c r="O29" s="25"/>
      <c r="P29" s="25"/>
      <c r="Q29" s="25"/>
      <c r="R29" s="25"/>
      <c r="S29" s="25"/>
      <c r="T29" s="25"/>
      <c r="U29" s="22">
        <f>COUNTIF(F29:T29, "FP")</f>
        <v>0</v>
      </c>
      <c r="V29" s="22">
        <f>COUNTIF(F29:T29, "XX")</f>
        <v>3</v>
      </c>
      <c r="W29" s="22">
        <f>U29+V29</f>
        <v>3</v>
      </c>
      <c r="X29" s="37" t="s">
        <v>255</v>
      </c>
    </row>
    <row r="30" spans="1:24" ht="16" x14ac:dyDescent="0.2">
      <c r="A30" s="25" t="s">
        <v>354</v>
      </c>
      <c r="B30" s="26" t="s">
        <v>355</v>
      </c>
      <c r="C30" s="25" t="s">
        <v>619</v>
      </c>
      <c r="D30" s="26"/>
      <c r="E30" s="25" t="s">
        <v>299</v>
      </c>
      <c r="F30" s="39" t="s">
        <v>299</v>
      </c>
      <c r="G30" s="38" t="s">
        <v>652</v>
      </c>
      <c r="H30" s="39" t="s">
        <v>299</v>
      </c>
      <c r="I30" s="39" t="s">
        <v>299</v>
      </c>
      <c r="J30" s="39" t="s">
        <v>299</v>
      </c>
      <c r="K30" s="38" t="s">
        <v>652</v>
      </c>
      <c r="L30" s="38" t="s">
        <v>652</v>
      </c>
      <c r="M30" s="39" t="s">
        <v>299</v>
      </c>
      <c r="N30" s="25"/>
      <c r="O30" s="25"/>
      <c r="P30" s="25"/>
      <c r="Q30" s="25"/>
      <c r="R30" s="25"/>
      <c r="S30" s="25"/>
      <c r="T30" s="25"/>
      <c r="U30" s="22">
        <f>COUNTIF(F30:T30, "FP")</f>
        <v>5</v>
      </c>
      <c r="V30" s="22">
        <f>COUNTIF(F30:T30, "XX")</f>
        <v>3</v>
      </c>
      <c r="W30" s="22">
        <f>U30+V30</f>
        <v>8</v>
      </c>
      <c r="X30" s="37" t="s">
        <v>256</v>
      </c>
    </row>
    <row r="31" spans="1:24" ht="16" x14ac:dyDescent="0.2">
      <c r="A31" s="25" t="s">
        <v>356</v>
      </c>
      <c r="B31" s="26" t="s">
        <v>357</v>
      </c>
      <c r="C31" s="25" t="s">
        <v>618</v>
      </c>
      <c r="D31" s="26"/>
      <c r="E31" s="25" t="s">
        <v>299</v>
      </c>
      <c r="F31" s="39" t="s">
        <v>299</v>
      </c>
      <c r="G31" s="25"/>
      <c r="H31" s="39" t="s">
        <v>299</v>
      </c>
      <c r="I31" s="39" t="s">
        <v>299</v>
      </c>
      <c r="J31" s="38" t="s">
        <v>652</v>
      </c>
      <c r="K31" s="39" t="s">
        <v>299</v>
      </c>
      <c r="L31" s="38" t="s">
        <v>652</v>
      </c>
      <c r="M31" s="39" t="s">
        <v>299</v>
      </c>
      <c r="N31" s="25"/>
      <c r="O31" s="25"/>
      <c r="P31" s="25"/>
      <c r="Q31" s="25"/>
      <c r="R31" s="25"/>
      <c r="S31" s="25"/>
      <c r="T31" s="25"/>
      <c r="U31" s="22">
        <f>COUNTIF(F31:T31, "FP")</f>
        <v>5</v>
      </c>
      <c r="V31" s="22">
        <f>COUNTIF(F31:T31, "XX")</f>
        <v>2</v>
      </c>
      <c r="W31" s="22">
        <f>U31+V31</f>
        <v>7</v>
      </c>
      <c r="X31" s="37" t="s">
        <v>255</v>
      </c>
    </row>
    <row r="32" spans="1:24" ht="16" x14ac:dyDescent="0.2">
      <c r="A32" s="25" t="s">
        <v>358</v>
      </c>
      <c r="B32" s="26" t="s">
        <v>359</v>
      </c>
      <c r="C32" s="25" t="s">
        <v>617</v>
      </c>
      <c r="D32" s="26"/>
      <c r="E32" s="25" t="s">
        <v>299</v>
      </c>
      <c r="F32" s="38" t="s">
        <v>652</v>
      </c>
      <c r="G32" s="38" t="s">
        <v>652</v>
      </c>
      <c r="H32" s="39" t="s">
        <v>299</v>
      </c>
      <c r="I32" s="38" t="s">
        <v>652</v>
      </c>
      <c r="J32" s="38" t="s">
        <v>652</v>
      </c>
      <c r="K32" s="38" t="s">
        <v>652</v>
      </c>
      <c r="L32" s="38" t="s">
        <v>652</v>
      </c>
      <c r="M32" s="38" t="s">
        <v>652</v>
      </c>
      <c r="N32" s="25"/>
      <c r="O32" s="25"/>
      <c r="P32" s="25"/>
      <c r="Q32" s="38" t="s">
        <v>652</v>
      </c>
      <c r="R32" s="38" t="s">
        <v>652</v>
      </c>
      <c r="S32" s="25"/>
      <c r="T32" s="25"/>
      <c r="U32" s="22">
        <f>COUNTIF(F32:T32, "FP")</f>
        <v>1</v>
      </c>
      <c r="V32" s="22">
        <f>COUNTIF(F32:T32, "XX")</f>
        <v>9</v>
      </c>
      <c r="W32" s="22">
        <f>U32+V32</f>
        <v>10</v>
      </c>
      <c r="X32" s="37" t="s">
        <v>255</v>
      </c>
    </row>
    <row r="33" spans="1:24" ht="16" x14ac:dyDescent="0.2">
      <c r="A33" s="25" t="s">
        <v>360</v>
      </c>
      <c r="B33" s="26" t="s">
        <v>361</v>
      </c>
      <c r="C33" s="25" t="s">
        <v>616</v>
      </c>
      <c r="D33" s="26"/>
      <c r="E33" s="25" t="s">
        <v>299</v>
      </c>
      <c r="F33" s="39" t="s">
        <v>299</v>
      </c>
      <c r="G33" s="25"/>
      <c r="H33" s="25"/>
      <c r="I33" s="39" t="s">
        <v>299</v>
      </c>
      <c r="J33" s="38" t="s">
        <v>652</v>
      </c>
      <c r="K33" s="25"/>
      <c r="L33" s="38" t="s">
        <v>652</v>
      </c>
      <c r="M33" s="39" t="s">
        <v>299</v>
      </c>
      <c r="N33" s="25"/>
      <c r="O33" s="25"/>
      <c r="P33" s="25"/>
      <c r="Q33" s="38" t="s">
        <v>652</v>
      </c>
      <c r="R33" s="25"/>
      <c r="S33" s="25"/>
      <c r="T33" s="25"/>
      <c r="U33" s="22">
        <f>COUNTIF(F33:T33, "FP")</f>
        <v>3</v>
      </c>
      <c r="V33" s="22">
        <f>COUNTIF(F33:T33, "XX")</f>
        <v>3</v>
      </c>
      <c r="W33" s="22">
        <f>U33+V33</f>
        <v>6</v>
      </c>
      <c r="X33" s="37" t="s">
        <v>255</v>
      </c>
    </row>
    <row r="34" spans="1:24" ht="16" x14ac:dyDescent="0.2">
      <c r="A34" s="25" t="s">
        <v>362</v>
      </c>
      <c r="B34" s="26" t="s">
        <v>363</v>
      </c>
      <c r="C34" s="25" t="s">
        <v>615</v>
      </c>
      <c r="D34" s="26"/>
      <c r="E34" s="25" t="s">
        <v>299</v>
      </c>
      <c r="F34" s="39" t="s">
        <v>299</v>
      </c>
      <c r="G34" s="38" t="s">
        <v>652</v>
      </c>
      <c r="H34" s="39" t="s">
        <v>299</v>
      </c>
      <c r="I34" s="39" t="s">
        <v>299</v>
      </c>
      <c r="J34" s="38" t="s">
        <v>652</v>
      </c>
      <c r="K34" s="38" t="s">
        <v>652</v>
      </c>
      <c r="L34" s="38" t="s">
        <v>652</v>
      </c>
      <c r="M34" s="39" t="s">
        <v>299</v>
      </c>
      <c r="N34" s="39" t="s">
        <v>299</v>
      </c>
      <c r="O34" s="39" t="s">
        <v>299</v>
      </c>
      <c r="P34" s="38" t="s">
        <v>652</v>
      </c>
      <c r="Q34" s="38" t="s">
        <v>652</v>
      </c>
      <c r="R34" s="25"/>
      <c r="S34" s="25"/>
      <c r="T34" s="25"/>
      <c r="U34" s="22">
        <f>COUNTIF(F34:T34, "FP")</f>
        <v>6</v>
      </c>
      <c r="V34" s="22">
        <f>COUNTIF(F34:T34, "XX")</f>
        <v>6</v>
      </c>
      <c r="W34" s="22">
        <f>U34+V34</f>
        <v>12</v>
      </c>
      <c r="X34" s="37" t="s">
        <v>258</v>
      </c>
    </row>
    <row r="35" spans="1:24" ht="16" x14ac:dyDescent="0.2">
      <c r="A35" s="25" t="s">
        <v>364</v>
      </c>
      <c r="B35" s="26" t="s">
        <v>365</v>
      </c>
      <c r="C35" s="25" t="s">
        <v>614</v>
      </c>
      <c r="D35" s="26"/>
      <c r="E35" s="25" t="s">
        <v>299</v>
      </c>
      <c r="F35" s="39" t="s">
        <v>299</v>
      </c>
      <c r="G35" s="39" t="s">
        <v>299</v>
      </c>
      <c r="H35" s="39" t="s">
        <v>299</v>
      </c>
      <c r="I35" s="39" t="s">
        <v>299</v>
      </c>
      <c r="J35" s="39" t="s">
        <v>299</v>
      </c>
      <c r="K35" s="38" t="s">
        <v>652</v>
      </c>
      <c r="L35" s="38" t="s">
        <v>652</v>
      </c>
      <c r="M35" s="39" t="s">
        <v>299</v>
      </c>
      <c r="N35" s="25"/>
      <c r="O35" s="25"/>
      <c r="P35" s="25"/>
      <c r="Q35" s="38" t="s">
        <v>652</v>
      </c>
      <c r="R35" s="25"/>
      <c r="S35" s="25"/>
      <c r="T35" s="25"/>
      <c r="U35" s="22">
        <f>COUNTIF(F35:T35, "FP")</f>
        <v>6</v>
      </c>
      <c r="V35" s="22">
        <f>COUNTIF(F35:T35, "XX")</f>
        <v>3</v>
      </c>
      <c r="W35" s="22">
        <f>U35+V35</f>
        <v>9</v>
      </c>
      <c r="X35" s="37" t="s">
        <v>255</v>
      </c>
    </row>
    <row r="36" spans="1:24" ht="16" x14ac:dyDescent="0.2">
      <c r="A36" s="25" t="s">
        <v>366</v>
      </c>
      <c r="B36" s="26" t="s">
        <v>367</v>
      </c>
      <c r="C36" s="25" t="s">
        <v>613</v>
      </c>
      <c r="D36" s="26"/>
      <c r="E36" s="25" t="s">
        <v>299</v>
      </c>
      <c r="F36" s="38" t="s">
        <v>652</v>
      </c>
      <c r="G36" s="38" t="s">
        <v>652</v>
      </c>
      <c r="H36" s="25"/>
      <c r="I36" s="38" t="s">
        <v>652</v>
      </c>
      <c r="J36" s="38" t="s">
        <v>652</v>
      </c>
      <c r="K36" s="25"/>
      <c r="L36" s="25"/>
      <c r="M36" s="39" t="s">
        <v>299</v>
      </c>
      <c r="N36" s="25"/>
      <c r="O36" s="25"/>
      <c r="P36" s="25"/>
      <c r="Q36" s="38" t="s">
        <v>652</v>
      </c>
      <c r="R36" s="25"/>
      <c r="S36" s="25"/>
      <c r="T36" s="25"/>
      <c r="U36" s="22">
        <f>COUNTIF(F36:T36, "FP")</f>
        <v>1</v>
      </c>
      <c r="V36" s="22">
        <f>COUNTIF(F36:T36, "XX")</f>
        <v>5</v>
      </c>
      <c r="W36" s="22">
        <f>U36+V36</f>
        <v>6</v>
      </c>
      <c r="X36" s="37" t="s">
        <v>255</v>
      </c>
    </row>
    <row r="37" spans="1:24" ht="16" x14ac:dyDescent="0.2">
      <c r="A37" s="25" t="s">
        <v>368</v>
      </c>
      <c r="B37" s="26" t="s">
        <v>369</v>
      </c>
      <c r="C37" s="25" t="s">
        <v>612</v>
      </c>
      <c r="D37" s="26"/>
      <c r="E37" s="25" t="s">
        <v>299</v>
      </c>
      <c r="F37" s="38" t="s">
        <v>652</v>
      </c>
      <c r="G37" s="38" t="s">
        <v>652</v>
      </c>
      <c r="H37" s="38" t="s">
        <v>652</v>
      </c>
      <c r="I37" s="38" t="s">
        <v>652</v>
      </c>
      <c r="J37" s="38" t="s">
        <v>652</v>
      </c>
      <c r="K37" s="38" t="s">
        <v>652</v>
      </c>
      <c r="L37" s="38" t="s">
        <v>652</v>
      </c>
      <c r="M37" s="38" t="s">
        <v>652</v>
      </c>
      <c r="N37" s="25"/>
      <c r="O37" s="38" t="s">
        <v>652</v>
      </c>
      <c r="P37" s="25"/>
      <c r="Q37" s="38" t="s">
        <v>652</v>
      </c>
      <c r="R37" s="25"/>
      <c r="S37" s="25"/>
      <c r="T37" s="25"/>
      <c r="U37" s="22">
        <f>COUNTIF(F37:T37, "FP")</f>
        <v>0</v>
      </c>
      <c r="V37" s="22">
        <f>COUNTIF(F37:T37, "XX")</f>
        <v>10</v>
      </c>
      <c r="W37" s="22">
        <f>U37+V37</f>
        <v>10</v>
      </c>
      <c r="X37" s="37" t="s">
        <v>257</v>
      </c>
    </row>
    <row r="38" spans="1:24" ht="16" x14ac:dyDescent="0.2">
      <c r="A38" s="25" t="s">
        <v>370</v>
      </c>
      <c r="B38" s="26" t="s">
        <v>371</v>
      </c>
      <c r="C38" s="25" t="s">
        <v>611</v>
      </c>
      <c r="D38" s="26"/>
      <c r="E38" s="25" t="s">
        <v>299</v>
      </c>
      <c r="F38" s="39" t="s">
        <v>299</v>
      </c>
      <c r="G38" s="38" t="s">
        <v>652</v>
      </c>
      <c r="H38" s="39" t="s">
        <v>299</v>
      </c>
      <c r="I38" s="39" t="s">
        <v>299</v>
      </c>
      <c r="J38" s="38" t="s">
        <v>652</v>
      </c>
      <c r="K38" s="38" t="s">
        <v>652</v>
      </c>
      <c r="L38" s="38" t="s">
        <v>652</v>
      </c>
      <c r="M38" s="39" t="s">
        <v>299</v>
      </c>
      <c r="N38" s="25"/>
      <c r="O38" s="25"/>
      <c r="P38" s="25"/>
      <c r="Q38" s="38" t="s">
        <v>652</v>
      </c>
      <c r="R38" s="25"/>
      <c r="S38" s="25"/>
      <c r="T38" s="25"/>
      <c r="U38" s="22">
        <f>COUNTIF(F38:T38, "FP")</f>
        <v>4</v>
      </c>
      <c r="V38" s="22">
        <f>COUNTIF(F38:T38, "XX")</f>
        <v>5</v>
      </c>
      <c r="W38" s="22">
        <f>U38+V38</f>
        <v>9</v>
      </c>
      <c r="X38" s="37" t="s">
        <v>255</v>
      </c>
    </row>
    <row r="39" spans="1:24" ht="16" x14ac:dyDescent="0.2">
      <c r="A39" s="25" t="s">
        <v>372</v>
      </c>
      <c r="B39" s="26" t="s">
        <v>37</v>
      </c>
      <c r="C39" s="25" t="s">
        <v>610</v>
      </c>
      <c r="D39" s="26"/>
      <c r="E39" s="25" t="s">
        <v>299</v>
      </c>
      <c r="F39" s="38" t="s">
        <v>652</v>
      </c>
      <c r="G39" s="38" t="s">
        <v>652</v>
      </c>
      <c r="H39" s="38" t="s">
        <v>652</v>
      </c>
      <c r="I39" s="38" t="s">
        <v>652</v>
      </c>
      <c r="J39" s="38" t="s">
        <v>652</v>
      </c>
      <c r="K39" s="38" t="s">
        <v>652</v>
      </c>
      <c r="L39" s="38" t="s">
        <v>652</v>
      </c>
      <c r="M39" s="38" t="s">
        <v>652</v>
      </c>
      <c r="N39" s="25"/>
      <c r="O39" s="38" t="s">
        <v>652</v>
      </c>
      <c r="P39" s="38" t="s">
        <v>652</v>
      </c>
      <c r="Q39" s="38" t="s">
        <v>652</v>
      </c>
      <c r="R39" s="38" t="s">
        <v>652</v>
      </c>
      <c r="S39" s="38" t="s">
        <v>652</v>
      </c>
      <c r="T39" s="25"/>
      <c r="U39" s="22">
        <f>COUNTIF(F39:T39, "FP")</f>
        <v>0</v>
      </c>
      <c r="V39" s="22">
        <f>COUNTIF(F39:T39, "XX")</f>
        <v>13</v>
      </c>
      <c r="W39" s="22">
        <f>U39+V39</f>
        <v>13</v>
      </c>
      <c r="X39" s="37" t="s">
        <v>258</v>
      </c>
    </row>
    <row r="40" spans="1:24" ht="16" x14ac:dyDescent="0.2">
      <c r="A40" s="25" t="s">
        <v>373</v>
      </c>
      <c r="B40" s="26" t="s">
        <v>374</v>
      </c>
      <c r="C40" s="25" t="s">
        <v>609</v>
      </c>
      <c r="D40" s="26"/>
      <c r="E40" s="25" t="s">
        <v>299</v>
      </c>
      <c r="F40" s="38" t="s">
        <v>652</v>
      </c>
      <c r="G40" s="25"/>
      <c r="H40" s="25"/>
      <c r="I40" s="25"/>
      <c r="J40" s="38" t="s">
        <v>652</v>
      </c>
      <c r="K40" s="25"/>
      <c r="L40" s="38" t="s">
        <v>652</v>
      </c>
      <c r="M40" s="38" t="s">
        <v>652</v>
      </c>
      <c r="N40" s="25"/>
      <c r="O40" s="25"/>
      <c r="P40" s="25"/>
      <c r="Q40" s="25"/>
      <c r="R40" s="25"/>
      <c r="S40" s="25"/>
      <c r="T40" s="25"/>
      <c r="U40" s="22">
        <f>COUNTIF(F40:T40, "FP")</f>
        <v>0</v>
      </c>
      <c r="V40" s="22">
        <f>COUNTIF(F40:T40, "XX")</f>
        <v>4</v>
      </c>
      <c r="W40" s="22">
        <f>U40+V40</f>
        <v>4</v>
      </c>
      <c r="X40" s="37" t="s">
        <v>255</v>
      </c>
    </row>
    <row r="41" spans="1:24" ht="16" x14ac:dyDescent="0.2">
      <c r="A41" s="25" t="s">
        <v>375</v>
      </c>
      <c r="B41" s="26" t="s">
        <v>376</v>
      </c>
      <c r="C41" s="25" t="s">
        <v>608</v>
      </c>
      <c r="D41" s="26"/>
      <c r="E41" s="25" t="s">
        <v>299</v>
      </c>
      <c r="F41" s="39" t="s">
        <v>299</v>
      </c>
      <c r="G41" s="38" t="s">
        <v>652</v>
      </c>
      <c r="H41" s="25"/>
      <c r="I41" s="38" t="s">
        <v>652</v>
      </c>
      <c r="J41" s="38" t="s">
        <v>652</v>
      </c>
      <c r="K41" s="38" t="s">
        <v>652</v>
      </c>
      <c r="L41" s="38" t="s">
        <v>652</v>
      </c>
      <c r="M41" s="38" t="s">
        <v>652</v>
      </c>
      <c r="N41" s="25"/>
      <c r="O41" s="25"/>
      <c r="P41" s="25"/>
      <c r="Q41" s="38" t="s">
        <v>652</v>
      </c>
      <c r="R41" s="38" t="s">
        <v>652</v>
      </c>
      <c r="S41" s="25"/>
      <c r="T41" s="25"/>
      <c r="U41" s="22">
        <f>COUNTIF(F41:T41, "FP")</f>
        <v>1</v>
      </c>
      <c r="V41" s="22">
        <f>COUNTIF(F41:T41, "XX")</f>
        <v>8</v>
      </c>
      <c r="W41" s="22">
        <f>U41+V41</f>
        <v>9</v>
      </c>
      <c r="X41" s="37" t="s">
        <v>255</v>
      </c>
    </row>
    <row r="42" spans="1:24" ht="16" x14ac:dyDescent="0.2">
      <c r="A42" s="25" t="s">
        <v>377</v>
      </c>
      <c r="B42" s="26" t="s">
        <v>378</v>
      </c>
      <c r="C42" s="25" t="s">
        <v>607</v>
      </c>
      <c r="D42" s="26"/>
      <c r="E42" s="25" t="s">
        <v>299</v>
      </c>
      <c r="F42" s="39" t="s">
        <v>299</v>
      </c>
      <c r="G42" s="25"/>
      <c r="H42" s="39" t="s">
        <v>299</v>
      </c>
      <c r="I42" s="39" t="s">
        <v>299</v>
      </c>
      <c r="J42" s="38" t="s">
        <v>652</v>
      </c>
      <c r="K42" s="38" t="s">
        <v>652</v>
      </c>
      <c r="L42" s="38" t="s">
        <v>652</v>
      </c>
      <c r="M42" s="39" t="s">
        <v>299</v>
      </c>
      <c r="N42" s="25"/>
      <c r="O42" s="25"/>
      <c r="P42" s="25"/>
      <c r="Q42" s="25"/>
      <c r="R42" s="25"/>
      <c r="S42" s="25"/>
      <c r="T42" s="25"/>
      <c r="U42" s="22">
        <f>COUNTIF(F42:T42, "FP")</f>
        <v>4</v>
      </c>
      <c r="V42" s="22">
        <f>COUNTIF(F42:T42, "XX")</f>
        <v>3</v>
      </c>
      <c r="W42" s="22">
        <f>U42+V42</f>
        <v>7</v>
      </c>
      <c r="X42" s="37" t="s">
        <v>255</v>
      </c>
    </row>
    <row r="43" spans="1:24" ht="16" x14ac:dyDescent="0.2">
      <c r="A43" s="25" t="s">
        <v>379</v>
      </c>
      <c r="B43" s="26" t="s">
        <v>380</v>
      </c>
      <c r="C43" s="25" t="s">
        <v>606</v>
      </c>
      <c r="D43" s="26"/>
      <c r="E43" s="25" t="s">
        <v>299</v>
      </c>
      <c r="F43" s="25"/>
      <c r="G43" s="25"/>
      <c r="H43" s="25"/>
      <c r="I43" s="25"/>
      <c r="J43" s="38" t="s">
        <v>652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2">
        <f>COUNTIF(F43:T43, "FP")</f>
        <v>0</v>
      </c>
      <c r="V43" s="22">
        <f>COUNTIF(F43:T43, "XX")</f>
        <v>1</v>
      </c>
      <c r="W43" s="22">
        <f>U43+V43</f>
        <v>1</v>
      </c>
      <c r="X43" s="37" t="s">
        <v>255</v>
      </c>
    </row>
    <row r="44" spans="1:24" ht="16" x14ac:dyDescent="0.2">
      <c r="A44" s="25" t="s">
        <v>381</v>
      </c>
      <c r="B44" s="26" t="s">
        <v>382</v>
      </c>
      <c r="C44" s="25" t="s">
        <v>605</v>
      </c>
      <c r="D44" s="26"/>
      <c r="E44" s="25" t="s">
        <v>299</v>
      </c>
      <c r="F44" s="39" t="s">
        <v>299</v>
      </c>
      <c r="G44" s="39" t="s">
        <v>299</v>
      </c>
      <c r="H44" s="39" t="s">
        <v>299</v>
      </c>
      <c r="I44" s="39" t="s">
        <v>299</v>
      </c>
      <c r="J44" s="38" t="s">
        <v>652</v>
      </c>
      <c r="K44" s="38" t="s">
        <v>652</v>
      </c>
      <c r="L44" s="38" t="s">
        <v>652</v>
      </c>
      <c r="M44" s="39" t="s">
        <v>299</v>
      </c>
      <c r="N44" s="25"/>
      <c r="O44" s="39" t="s">
        <v>299</v>
      </c>
      <c r="P44" s="25"/>
      <c r="Q44" s="38" t="s">
        <v>652</v>
      </c>
      <c r="R44" s="25"/>
      <c r="S44" s="25"/>
      <c r="T44" s="25"/>
      <c r="U44" s="22">
        <f>COUNTIF(F44:T44, "FP")</f>
        <v>6</v>
      </c>
      <c r="V44" s="22">
        <f>COUNTIF(F44:T44, "XX")</f>
        <v>4</v>
      </c>
      <c r="W44" s="22">
        <f>U44+V44</f>
        <v>10</v>
      </c>
      <c r="X44" s="37" t="s">
        <v>256</v>
      </c>
    </row>
    <row r="45" spans="1:24" ht="16" x14ac:dyDescent="0.2">
      <c r="A45" s="25" t="s">
        <v>383</v>
      </c>
      <c r="B45" s="26" t="s">
        <v>384</v>
      </c>
      <c r="C45" s="25" t="s">
        <v>604</v>
      </c>
      <c r="D45" s="26"/>
      <c r="E45" s="25" t="s">
        <v>299</v>
      </c>
      <c r="F45" s="39" t="s">
        <v>299</v>
      </c>
      <c r="G45" s="39" t="s">
        <v>299</v>
      </c>
      <c r="H45" s="39" t="s">
        <v>299</v>
      </c>
      <c r="I45" s="39" t="s">
        <v>299</v>
      </c>
      <c r="J45" s="39" t="s">
        <v>299</v>
      </c>
      <c r="K45" s="39" t="s">
        <v>299</v>
      </c>
      <c r="L45" s="38" t="s">
        <v>652</v>
      </c>
      <c r="M45" s="39" t="s">
        <v>299</v>
      </c>
      <c r="N45" s="25"/>
      <c r="O45" s="38" t="s">
        <v>652</v>
      </c>
      <c r="P45" s="38" t="s">
        <v>652</v>
      </c>
      <c r="Q45" s="38" t="s">
        <v>652</v>
      </c>
      <c r="R45" s="38" t="s">
        <v>652</v>
      </c>
      <c r="S45" s="38" t="s">
        <v>652</v>
      </c>
      <c r="T45" s="25"/>
      <c r="U45" s="22">
        <f>COUNTIF(F45:T45, "FP")</f>
        <v>7</v>
      </c>
      <c r="V45" s="22">
        <f>COUNTIF(F45:T45, "XX")</f>
        <v>6</v>
      </c>
      <c r="W45" s="22">
        <f>U45+V45</f>
        <v>13</v>
      </c>
      <c r="X45" s="37" t="s">
        <v>258</v>
      </c>
    </row>
    <row r="46" spans="1:24" ht="16" x14ac:dyDescent="0.2">
      <c r="A46" s="25" t="s">
        <v>385</v>
      </c>
      <c r="B46" s="26" t="s">
        <v>386</v>
      </c>
      <c r="C46" s="25" t="s">
        <v>603</v>
      </c>
      <c r="D46" s="26"/>
      <c r="E46" s="25" t="s">
        <v>299</v>
      </c>
      <c r="F46" s="39" t="s">
        <v>299</v>
      </c>
      <c r="G46" s="39" t="s">
        <v>299</v>
      </c>
      <c r="H46" s="25"/>
      <c r="I46" s="25"/>
      <c r="J46" s="39" t="s">
        <v>299</v>
      </c>
      <c r="K46" s="25"/>
      <c r="L46" s="38" t="s">
        <v>652</v>
      </c>
      <c r="M46" s="39" t="s">
        <v>299</v>
      </c>
      <c r="N46" s="25"/>
      <c r="O46" s="25"/>
      <c r="P46" s="38" t="s">
        <v>652</v>
      </c>
      <c r="Q46" s="38" t="s">
        <v>652</v>
      </c>
      <c r="R46" s="25"/>
      <c r="S46" s="25"/>
      <c r="T46" s="25"/>
      <c r="U46" s="22">
        <f>COUNTIF(F46:T46, "FP")</f>
        <v>4</v>
      </c>
      <c r="V46" s="22">
        <f>COUNTIF(F46:T46, "XX")</f>
        <v>3</v>
      </c>
      <c r="W46" s="22">
        <f>U46+V46</f>
        <v>7</v>
      </c>
      <c r="X46" s="37" t="s">
        <v>255</v>
      </c>
    </row>
    <row r="47" spans="1:24" ht="16" x14ac:dyDescent="0.2">
      <c r="A47" s="25" t="s">
        <v>387</v>
      </c>
      <c r="B47" s="26" t="s">
        <v>388</v>
      </c>
      <c r="C47" s="25" t="s">
        <v>602</v>
      </c>
      <c r="D47" s="26"/>
      <c r="E47" s="25" t="s">
        <v>299</v>
      </c>
      <c r="F47" s="38" t="s">
        <v>652</v>
      </c>
      <c r="G47" s="38" t="s">
        <v>652</v>
      </c>
      <c r="H47" s="38" t="s">
        <v>652</v>
      </c>
      <c r="I47" s="38" t="s">
        <v>652</v>
      </c>
      <c r="J47" s="38" t="s">
        <v>652</v>
      </c>
      <c r="K47" s="38" t="s">
        <v>652</v>
      </c>
      <c r="L47" s="38" t="s">
        <v>652</v>
      </c>
      <c r="M47" s="39" t="s">
        <v>299</v>
      </c>
      <c r="N47" s="25"/>
      <c r="O47" s="38" t="s">
        <v>652</v>
      </c>
      <c r="P47" s="25"/>
      <c r="Q47" s="38" t="s">
        <v>652</v>
      </c>
      <c r="R47" s="25"/>
      <c r="S47" s="25"/>
      <c r="T47" s="25"/>
      <c r="U47" s="22">
        <f>COUNTIF(F47:T47, "FP")</f>
        <v>1</v>
      </c>
      <c r="V47" s="22">
        <f>COUNTIF(F47:T47, "XX")</f>
        <v>9</v>
      </c>
      <c r="W47" s="22">
        <f>U47+V47</f>
        <v>10</v>
      </c>
      <c r="X47" s="37" t="s">
        <v>256</v>
      </c>
    </row>
    <row r="48" spans="1:24" ht="16" x14ac:dyDescent="0.2">
      <c r="A48" s="25" t="s">
        <v>389</v>
      </c>
      <c r="B48" s="26" t="s">
        <v>390</v>
      </c>
      <c r="C48" s="25" t="s">
        <v>601</v>
      </c>
      <c r="D48" s="26"/>
      <c r="E48" s="25" t="s">
        <v>299</v>
      </c>
      <c r="F48" s="38" t="s">
        <v>652</v>
      </c>
      <c r="G48" s="38" t="s">
        <v>652</v>
      </c>
      <c r="H48" s="38" t="s">
        <v>652</v>
      </c>
      <c r="I48" s="38" t="s">
        <v>652</v>
      </c>
      <c r="J48" s="38" t="s">
        <v>652</v>
      </c>
      <c r="K48" s="38" t="s">
        <v>652</v>
      </c>
      <c r="L48" s="38" t="s">
        <v>652</v>
      </c>
      <c r="M48" s="39" t="s">
        <v>299</v>
      </c>
      <c r="N48" s="38" t="s">
        <v>652</v>
      </c>
      <c r="O48" s="38" t="s">
        <v>652</v>
      </c>
      <c r="P48" s="38" t="s">
        <v>652</v>
      </c>
      <c r="Q48" s="38" t="s">
        <v>652</v>
      </c>
      <c r="R48" s="38" t="s">
        <v>652</v>
      </c>
      <c r="S48" s="38" t="s">
        <v>652</v>
      </c>
      <c r="T48" s="25"/>
      <c r="U48" s="22">
        <f>COUNTIF(F48:T48, "FP")</f>
        <v>1</v>
      </c>
      <c r="V48" s="22">
        <f>COUNTIF(F48:T48, "XX")</f>
        <v>13</v>
      </c>
      <c r="W48" s="22">
        <f>U48+V48</f>
        <v>14</v>
      </c>
      <c r="X48" s="37" t="s">
        <v>258</v>
      </c>
    </row>
    <row r="49" spans="1:24" ht="16" x14ac:dyDescent="0.2">
      <c r="A49" s="25" t="s">
        <v>391</v>
      </c>
      <c r="B49" s="26" t="s">
        <v>392</v>
      </c>
      <c r="C49" s="25" t="s">
        <v>600</v>
      </c>
      <c r="D49" s="26"/>
      <c r="E49" s="25" t="s">
        <v>299</v>
      </c>
      <c r="F49" s="39" t="s">
        <v>299</v>
      </c>
      <c r="G49" s="39" t="s">
        <v>299</v>
      </c>
      <c r="H49" s="25"/>
      <c r="I49" s="25"/>
      <c r="J49" s="39" t="s">
        <v>299</v>
      </c>
      <c r="K49" s="25"/>
      <c r="L49" s="25"/>
      <c r="M49" s="39" t="s">
        <v>299</v>
      </c>
      <c r="N49" s="25"/>
      <c r="O49" s="25"/>
      <c r="P49" s="25"/>
      <c r="Q49" s="38" t="s">
        <v>652</v>
      </c>
      <c r="R49" s="25"/>
      <c r="S49" s="25"/>
      <c r="T49" s="25"/>
      <c r="U49" s="22">
        <f>COUNTIF(F49:T49, "FP")</f>
        <v>4</v>
      </c>
      <c r="V49" s="22">
        <f>COUNTIF(F49:T49, "XX")</f>
        <v>1</v>
      </c>
      <c r="W49" s="22">
        <f>U49+V49</f>
        <v>5</v>
      </c>
      <c r="X49" s="37" t="s">
        <v>255</v>
      </c>
    </row>
    <row r="50" spans="1:24" ht="16" x14ac:dyDescent="0.2">
      <c r="A50" s="25" t="s">
        <v>393</v>
      </c>
      <c r="B50" s="26" t="s">
        <v>394</v>
      </c>
      <c r="C50" s="25" t="s">
        <v>599</v>
      </c>
      <c r="D50" s="26"/>
      <c r="E50" s="25" t="s">
        <v>299</v>
      </c>
      <c r="F50" s="39" t="s">
        <v>299</v>
      </c>
      <c r="G50" s="25"/>
      <c r="H50" s="25"/>
      <c r="I50" s="25"/>
      <c r="J50" s="38" t="s">
        <v>652</v>
      </c>
      <c r="K50" s="25"/>
      <c r="L50" s="38" t="s">
        <v>652</v>
      </c>
      <c r="M50" s="39" t="s">
        <v>299</v>
      </c>
      <c r="N50" s="25"/>
      <c r="O50" s="25"/>
      <c r="P50" s="25"/>
      <c r="Q50" s="38" t="s">
        <v>652</v>
      </c>
      <c r="R50" s="25"/>
      <c r="S50" s="25"/>
      <c r="T50" s="25"/>
      <c r="U50" s="22">
        <f>COUNTIF(F50:T50, "FP")</f>
        <v>2</v>
      </c>
      <c r="V50" s="22">
        <f>COUNTIF(F50:T50, "XX")</f>
        <v>3</v>
      </c>
      <c r="W50" s="22">
        <f>U50+V50</f>
        <v>5</v>
      </c>
      <c r="X50" s="37" t="s">
        <v>255</v>
      </c>
    </row>
    <row r="51" spans="1:24" ht="16" x14ac:dyDescent="0.2">
      <c r="A51" s="25" t="s">
        <v>395</v>
      </c>
      <c r="B51" s="26" t="s">
        <v>303</v>
      </c>
      <c r="C51" s="25" t="s">
        <v>598</v>
      </c>
      <c r="D51" s="26"/>
      <c r="E51" s="25" t="s">
        <v>299</v>
      </c>
      <c r="F51" s="39" t="s">
        <v>299</v>
      </c>
      <c r="G51" s="38" t="s">
        <v>652</v>
      </c>
      <c r="H51" s="39" t="s">
        <v>299</v>
      </c>
      <c r="I51" s="38" t="s">
        <v>652</v>
      </c>
      <c r="J51" s="38" t="s">
        <v>652</v>
      </c>
      <c r="K51" s="38" t="s">
        <v>652</v>
      </c>
      <c r="L51" s="38" t="s">
        <v>652</v>
      </c>
      <c r="M51" s="39" t="s">
        <v>299</v>
      </c>
      <c r="N51" s="25"/>
      <c r="O51" s="38" t="s">
        <v>652</v>
      </c>
      <c r="P51" s="25"/>
      <c r="Q51" s="38" t="s">
        <v>652</v>
      </c>
      <c r="R51" s="38" t="s">
        <v>652</v>
      </c>
      <c r="S51" s="25"/>
      <c r="T51" s="25"/>
      <c r="U51" s="22">
        <f>COUNTIF(F51:T51, "FP")</f>
        <v>3</v>
      </c>
      <c r="V51" s="22">
        <f>COUNTIF(F51:T51, "XX")</f>
        <v>8</v>
      </c>
      <c r="W51" s="22">
        <f>U51+V51</f>
        <v>11</v>
      </c>
      <c r="X51" s="37" t="s">
        <v>256</v>
      </c>
    </row>
    <row r="52" spans="1:24" ht="16" x14ac:dyDescent="0.2">
      <c r="A52" s="25" t="s">
        <v>396</v>
      </c>
      <c r="B52" s="26" t="s">
        <v>397</v>
      </c>
      <c r="C52" s="25" t="s">
        <v>597</v>
      </c>
      <c r="D52" s="26"/>
      <c r="E52" s="25" t="s">
        <v>299</v>
      </c>
      <c r="F52" s="38" t="s">
        <v>652</v>
      </c>
      <c r="G52" s="38" t="s">
        <v>652</v>
      </c>
      <c r="H52" s="25"/>
      <c r="I52" s="39" t="s">
        <v>299</v>
      </c>
      <c r="J52" s="38" t="s">
        <v>652</v>
      </c>
      <c r="K52" s="38" t="s">
        <v>652</v>
      </c>
      <c r="L52" s="38" t="s">
        <v>652</v>
      </c>
      <c r="M52" s="39" t="s">
        <v>299</v>
      </c>
      <c r="N52" s="25"/>
      <c r="O52" s="25"/>
      <c r="P52" s="25"/>
      <c r="Q52" s="38" t="s">
        <v>652</v>
      </c>
      <c r="R52" s="25"/>
      <c r="S52" s="25"/>
      <c r="T52" s="25"/>
      <c r="U52" s="22">
        <f>COUNTIF(F52:T52, "FP")</f>
        <v>2</v>
      </c>
      <c r="V52" s="22">
        <f>COUNTIF(F52:T52, "XX")</f>
        <v>6</v>
      </c>
      <c r="W52" s="22">
        <f>U52+V52</f>
        <v>8</v>
      </c>
      <c r="X52" s="37" t="s">
        <v>255</v>
      </c>
    </row>
    <row r="53" spans="1:24" ht="16" x14ac:dyDescent="0.2">
      <c r="A53" s="25" t="s">
        <v>398</v>
      </c>
      <c r="B53" s="26" t="s">
        <v>399</v>
      </c>
      <c r="C53" s="25" t="s">
        <v>596</v>
      </c>
      <c r="D53" s="26"/>
      <c r="E53" s="25" t="s">
        <v>299</v>
      </c>
      <c r="F53" s="39" t="s">
        <v>299</v>
      </c>
      <c r="G53" s="38" t="s">
        <v>652</v>
      </c>
      <c r="H53" s="38" t="s">
        <v>652</v>
      </c>
      <c r="I53" s="38" t="s">
        <v>652</v>
      </c>
      <c r="J53" s="38" t="s">
        <v>652</v>
      </c>
      <c r="K53" s="38" t="s">
        <v>652</v>
      </c>
      <c r="L53" s="38" t="s">
        <v>652</v>
      </c>
      <c r="M53" s="38" t="s">
        <v>652</v>
      </c>
      <c r="N53" s="25"/>
      <c r="O53" s="38" t="s">
        <v>652</v>
      </c>
      <c r="P53" s="38" t="s">
        <v>652</v>
      </c>
      <c r="Q53" s="38" t="s">
        <v>652</v>
      </c>
      <c r="R53" s="38" t="s">
        <v>652</v>
      </c>
      <c r="S53" s="38" t="s">
        <v>652</v>
      </c>
      <c r="T53" s="25"/>
      <c r="U53" s="22">
        <f>COUNTIF(F53:T53, "FP")</f>
        <v>1</v>
      </c>
      <c r="V53" s="22">
        <f>COUNTIF(F53:T53, "XX")</f>
        <v>12</v>
      </c>
      <c r="W53" s="22">
        <f>U53+V53</f>
        <v>13</v>
      </c>
      <c r="X53" s="37" t="s">
        <v>258</v>
      </c>
    </row>
    <row r="54" spans="1:24" ht="16" x14ac:dyDescent="0.2">
      <c r="A54" s="25" t="s">
        <v>400</v>
      </c>
      <c r="B54" s="26" t="s">
        <v>401</v>
      </c>
      <c r="C54" s="25" t="s">
        <v>595</v>
      </c>
      <c r="D54" s="26"/>
      <c r="E54" s="25" t="s">
        <v>299</v>
      </c>
      <c r="F54" s="39" t="s">
        <v>299</v>
      </c>
      <c r="G54" s="38" t="s">
        <v>652</v>
      </c>
      <c r="H54" s="39" t="s">
        <v>299</v>
      </c>
      <c r="I54" s="39" t="s">
        <v>299</v>
      </c>
      <c r="J54" s="38" t="s">
        <v>652</v>
      </c>
      <c r="K54" s="38" t="s">
        <v>652</v>
      </c>
      <c r="L54" s="38" t="s">
        <v>652</v>
      </c>
      <c r="M54" s="39" t="s">
        <v>299</v>
      </c>
      <c r="N54" s="25"/>
      <c r="O54" s="38" t="s">
        <v>652</v>
      </c>
      <c r="P54" s="25"/>
      <c r="Q54" s="38" t="s">
        <v>652</v>
      </c>
      <c r="R54" s="25"/>
      <c r="S54" s="25"/>
      <c r="T54" s="25"/>
      <c r="U54" s="22">
        <f>COUNTIF(F54:T54, "FP")</f>
        <v>4</v>
      </c>
      <c r="V54" s="22">
        <f>COUNTIF(F54:T54, "XX")</f>
        <v>6</v>
      </c>
      <c r="W54" s="22">
        <f>U54+V54</f>
        <v>10</v>
      </c>
      <c r="X54" s="37" t="s">
        <v>256</v>
      </c>
    </row>
    <row r="55" spans="1:24" ht="16" x14ac:dyDescent="0.2">
      <c r="A55" s="25" t="s">
        <v>402</v>
      </c>
      <c r="B55" s="26" t="s">
        <v>403</v>
      </c>
      <c r="C55" s="25" t="s">
        <v>594</v>
      </c>
      <c r="D55" s="26"/>
      <c r="E55" s="25" t="s">
        <v>299</v>
      </c>
      <c r="F55" s="39" t="s">
        <v>299</v>
      </c>
      <c r="G55" s="39" t="s">
        <v>299</v>
      </c>
      <c r="H55" s="25"/>
      <c r="I55" s="39" t="s">
        <v>299</v>
      </c>
      <c r="J55" s="39" t="s">
        <v>299</v>
      </c>
      <c r="K55" s="39" t="s">
        <v>299</v>
      </c>
      <c r="L55" s="38" t="s">
        <v>652</v>
      </c>
      <c r="M55" s="39" t="s">
        <v>299</v>
      </c>
      <c r="N55" s="25"/>
      <c r="O55" s="25"/>
      <c r="P55" s="25"/>
      <c r="Q55" s="38" t="s">
        <v>652</v>
      </c>
      <c r="R55" s="25"/>
      <c r="S55" s="25"/>
      <c r="T55" s="25"/>
      <c r="U55" s="22">
        <f>COUNTIF(F55:T55, "FP")</f>
        <v>6</v>
      </c>
      <c r="V55" s="22">
        <f>COUNTIF(F55:T55, "XX")</f>
        <v>2</v>
      </c>
      <c r="W55" s="22">
        <f>U55+V55</f>
        <v>8</v>
      </c>
      <c r="X55" s="37" t="s">
        <v>255</v>
      </c>
    </row>
    <row r="56" spans="1:24" ht="16" x14ac:dyDescent="0.2">
      <c r="A56" s="25" t="s">
        <v>404</v>
      </c>
      <c r="B56" s="26" t="s">
        <v>405</v>
      </c>
      <c r="C56" s="25" t="s">
        <v>593</v>
      </c>
      <c r="D56" s="26"/>
      <c r="E56" s="25" t="s">
        <v>299</v>
      </c>
      <c r="F56" s="39" t="s">
        <v>299</v>
      </c>
      <c r="G56" s="25"/>
      <c r="H56" s="38" t="s">
        <v>652</v>
      </c>
      <c r="I56" s="38" t="s">
        <v>652</v>
      </c>
      <c r="J56" s="38" t="s">
        <v>652</v>
      </c>
      <c r="K56" s="38" t="s">
        <v>652</v>
      </c>
      <c r="L56" s="38" t="s">
        <v>652</v>
      </c>
      <c r="M56" s="39" t="s">
        <v>299</v>
      </c>
      <c r="N56" s="38" t="s">
        <v>652</v>
      </c>
      <c r="O56" s="39" t="s">
        <v>299</v>
      </c>
      <c r="P56" s="38" t="s">
        <v>652</v>
      </c>
      <c r="Q56" s="38" t="s">
        <v>652</v>
      </c>
      <c r="R56" s="38" t="s">
        <v>652</v>
      </c>
      <c r="S56" s="38" t="s">
        <v>652</v>
      </c>
      <c r="T56" s="25"/>
      <c r="U56" s="22">
        <f>COUNTIF(F56:T56, "FP")</f>
        <v>3</v>
      </c>
      <c r="V56" s="22">
        <f>COUNTIF(F56:T56, "XX")</f>
        <v>10</v>
      </c>
      <c r="W56" s="22">
        <f>U56+V56</f>
        <v>13</v>
      </c>
      <c r="X56" s="37" t="s">
        <v>258</v>
      </c>
    </row>
    <row r="57" spans="1:24" ht="16" x14ac:dyDescent="0.2">
      <c r="A57" s="25" t="s">
        <v>406</v>
      </c>
      <c r="B57" s="26" t="s">
        <v>298</v>
      </c>
      <c r="C57" s="25" t="s">
        <v>592</v>
      </c>
      <c r="D57" s="26"/>
      <c r="E57" s="25" t="s">
        <v>299</v>
      </c>
      <c r="F57" s="38" t="s">
        <v>652</v>
      </c>
      <c r="G57" s="38" t="s">
        <v>652</v>
      </c>
      <c r="H57" s="38" t="s">
        <v>652</v>
      </c>
      <c r="I57" s="38" t="s">
        <v>652</v>
      </c>
      <c r="J57" s="38" t="s">
        <v>652</v>
      </c>
      <c r="K57" s="38" t="s">
        <v>652</v>
      </c>
      <c r="L57" s="38" t="s">
        <v>652</v>
      </c>
      <c r="M57" s="38" t="s">
        <v>652</v>
      </c>
      <c r="N57" s="25"/>
      <c r="O57" s="25"/>
      <c r="P57" s="25"/>
      <c r="Q57" s="38" t="s">
        <v>652</v>
      </c>
      <c r="R57" s="25"/>
      <c r="S57" s="25"/>
      <c r="T57" s="25"/>
      <c r="U57" s="22">
        <f>COUNTIF(F57:T57, "FP")</f>
        <v>0</v>
      </c>
      <c r="V57" s="22">
        <f>COUNTIF(F57:T57, "XX")</f>
        <v>9</v>
      </c>
      <c r="W57" s="22">
        <f>U57+V57</f>
        <v>9</v>
      </c>
      <c r="X57" s="37" t="s">
        <v>255</v>
      </c>
    </row>
    <row r="58" spans="1:24" ht="16" x14ac:dyDescent="0.2">
      <c r="A58" s="25" t="s">
        <v>407</v>
      </c>
      <c r="B58" s="26" t="s">
        <v>408</v>
      </c>
      <c r="C58" s="25" t="s">
        <v>591</v>
      </c>
      <c r="D58" s="26"/>
      <c r="E58" s="25" t="s">
        <v>299</v>
      </c>
      <c r="F58" s="25"/>
      <c r="G58" s="25"/>
      <c r="H58" s="25"/>
      <c r="I58" s="25"/>
      <c r="J58" s="25"/>
      <c r="K58" s="25"/>
      <c r="L58" s="38" t="s">
        <v>652</v>
      </c>
      <c r="M58" s="25"/>
      <c r="N58" s="25"/>
      <c r="O58" s="25"/>
      <c r="P58" s="25"/>
      <c r="Q58" s="38" t="s">
        <v>652</v>
      </c>
      <c r="R58" s="25"/>
      <c r="S58" s="25"/>
      <c r="T58" s="25"/>
      <c r="U58" s="22">
        <f>COUNTIF(F58:T58, "FP")</f>
        <v>0</v>
      </c>
      <c r="V58" s="22">
        <f>COUNTIF(F58:T58, "XX")</f>
        <v>2</v>
      </c>
      <c r="W58" s="22">
        <f>U58+V58</f>
        <v>2</v>
      </c>
      <c r="X58" s="37" t="s">
        <v>255</v>
      </c>
    </row>
    <row r="59" spans="1:24" ht="16" x14ac:dyDescent="0.2">
      <c r="A59" s="25" t="s">
        <v>409</v>
      </c>
      <c r="B59" s="26" t="s">
        <v>410</v>
      </c>
      <c r="C59" s="25" t="s">
        <v>590</v>
      </c>
      <c r="D59" s="26"/>
      <c r="E59" s="25" t="s">
        <v>299</v>
      </c>
      <c r="F59" s="38" t="s">
        <v>652</v>
      </c>
      <c r="G59" s="38" t="s">
        <v>652</v>
      </c>
      <c r="H59" s="25"/>
      <c r="I59" s="39" t="s">
        <v>299</v>
      </c>
      <c r="J59" s="38" t="s">
        <v>652</v>
      </c>
      <c r="K59" s="38" t="s">
        <v>652</v>
      </c>
      <c r="L59" s="38" t="s">
        <v>652</v>
      </c>
      <c r="M59" s="39" t="s">
        <v>299</v>
      </c>
      <c r="N59" s="25"/>
      <c r="O59" s="25"/>
      <c r="P59" s="25"/>
      <c r="Q59" s="38" t="s">
        <v>652</v>
      </c>
      <c r="R59" s="25"/>
      <c r="S59" s="25"/>
      <c r="T59" s="25"/>
      <c r="U59" s="22">
        <f>COUNTIF(F59:T59, "FP")</f>
        <v>2</v>
      </c>
      <c r="V59" s="22">
        <f>COUNTIF(F59:T59, "XX")</f>
        <v>6</v>
      </c>
      <c r="W59" s="22">
        <f>U59+V59</f>
        <v>8</v>
      </c>
      <c r="X59" s="37" t="s">
        <v>255</v>
      </c>
    </row>
    <row r="60" spans="1:24" ht="16" x14ac:dyDescent="0.2">
      <c r="A60" s="25" t="s">
        <v>411</v>
      </c>
      <c r="B60" s="26" t="s">
        <v>412</v>
      </c>
      <c r="C60" s="25" t="s">
        <v>589</v>
      </c>
      <c r="D60" s="26"/>
      <c r="E60" s="25" t="s">
        <v>299</v>
      </c>
      <c r="F60" s="39" t="s">
        <v>299</v>
      </c>
      <c r="G60" s="25"/>
      <c r="H60" s="25"/>
      <c r="I60" s="39" t="s">
        <v>299</v>
      </c>
      <c r="J60" s="39" t="s">
        <v>299</v>
      </c>
      <c r="K60" s="38" t="s">
        <v>652</v>
      </c>
      <c r="L60" s="38" t="s">
        <v>652</v>
      </c>
      <c r="M60" s="39" t="s">
        <v>299</v>
      </c>
      <c r="N60" s="25"/>
      <c r="O60" s="25"/>
      <c r="P60" s="25"/>
      <c r="Q60" s="38" t="s">
        <v>652</v>
      </c>
      <c r="R60" s="25"/>
      <c r="S60" s="25"/>
      <c r="T60" s="25"/>
      <c r="U60" s="22">
        <f>COUNTIF(F60:T60, "FP")</f>
        <v>4</v>
      </c>
      <c r="V60" s="22">
        <f>COUNTIF(F60:T60, "XX")</f>
        <v>3</v>
      </c>
      <c r="W60" s="22">
        <f>U60+V60</f>
        <v>7</v>
      </c>
      <c r="X60" s="37" t="s">
        <v>255</v>
      </c>
    </row>
    <row r="61" spans="1:24" ht="16" x14ac:dyDescent="0.2">
      <c r="A61" s="25" t="s">
        <v>413</v>
      </c>
      <c r="B61" s="26" t="s">
        <v>414</v>
      </c>
      <c r="C61" s="25" t="s">
        <v>588</v>
      </c>
      <c r="D61" s="26"/>
      <c r="E61" s="25" t="s">
        <v>299</v>
      </c>
      <c r="F61" s="38" t="s">
        <v>652</v>
      </c>
      <c r="G61" s="38" t="s">
        <v>652</v>
      </c>
      <c r="H61" s="38" t="s">
        <v>652</v>
      </c>
      <c r="I61" s="38" t="s">
        <v>652</v>
      </c>
      <c r="J61" s="38" t="s">
        <v>652</v>
      </c>
      <c r="K61" s="38" t="s">
        <v>652</v>
      </c>
      <c r="L61" s="38" t="s">
        <v>652</v>
      </c>
      <c r="M61" s="38" t="s">
        <v>652</v>
      </c>
      <c r="N61" s="25"/>
      <c r="O61" s="25"/>
      <c r="P61" s="25"/>
      <c r="Q61" s="38" t="s">
        <v>652</v>
      </c>
      <c r="R61" s="25"/>
      <c r="S61" s="25"/>
      <c r="T61" s="25"/>
      <c r="U61" s="22">
        <f>COUNTIF(F61:T61, "FP")</f>
        <v>0</v>
      </c>
      <c r="V61" s="22">
        <f>COUNTIF(F61:T61, "XX")</f>
        <v>9</v>
      </c>
      <c r="W61" s="22">
        <f>U61+V61</f>
        <v>9</v>
      </c>
      <c r="X61" s="37" t="s">
        <v>255</v>
      </c>
    </row>
    <row r="62" spans="1:24" ht="16" x14ac:dyDescent="0.2">
      <c r="A62" s="25" t="s">
        <v>415</v>
      </c>
      <c r="B62" s="26" t="s">
        <v>59</v>
      </c>
      <c r="C62" s="25" t="s">
        <v>587</v>
      </c>
      <c r="D62" s="26"/>
      <c r="E62" s="25" t="s">
        <v>299</v>
      </c>
      <c r="F62" s="39" t="s">
        <v>299</v>
      </c>
      <c r="G62" s="38" t="s">
        <v>652</v>
      </c>
      <c r="H62" s="38" t="s">
        <v>652</v>
      </c>
      <c r="I62" s="39" t="s">
        <v>299</v>
      </c>
      <c r="J62" s="38" t="s">
        <v>652</v>
      </c>
      <c r="K62" s="38" t="s">
        <v>652</v>
      </c>
      <c r="L62" s="38" t="s">
        <v>652</v>
      </c>
      <c r="M62" s="39" t="s">
        <v>299</v>
      </c>
      <c r="N62" s="25"/>
      <c r="O62" s="25"/>
      <c r="P62" s="25"/>
      <c r="Q62" s="38" t="s">
        <v>652</v>
      </c>
      <c r="R62" s="25"/>
      <c r="S62" s="25"/>
      <c r="T62" s="25"/>
      <c r="U62" s="22">
        <f>COUNTIF(F62:T62, "FP")</f>
        <v>3</v>
      </c>
      <c r="V62" s="22">
        <f>COUNTIF(F62:T62, "XX")</f>
        <v>6</v>
      </c>
      <c r="W62" s="22">
        <f>U62+V62</f>
        <v>9</v>
      </c>
      <c r="X62" s="37" t="s">
        <v>256</v>
      </c>
    </row>
    <row r="63" spans="1:24" ht="16" x14ac:dyDescent="0.2">
      <c r="A63" s="25" t="s">
        <v>416</v>
      </c>
      <c r="B63" s="26" t="s">
        <v>417</v>
      </c>
      <c r="C63" s="25" t="s">
        <v>586</v>
      </c>
      <c r="D63" s="26"/>
      <c r="E63" s="25" t="s">
        <v>299</v>
      </c>
      <c r="F63" s="39" t="s">
        <v>299</v>
      </c>
      <c r="G63" s="25"/>
      <c r="H63" s="25"/>
      <c r="I63" s="25"/>
      <c r="J63" s="39" t="s">
        <v>299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2">
        <f>COUNTIF(F63:T63, "FP")</f>
        <v>2</v>
      </c>
      <c r="V63" s="22">
        <f>COUNTIF(F63:T63, "XX")</f>
        <v>0</v>
      </c>
      <c r="W63" s="22">
        <f>U63+V63</f>
        <v>2</v>
      </c>
      <c r="X63" s="37" t="s">
        <v>255</v>
      </c>
    </row>
    <row r="64" spans="1:24" ht="16" x14ac:dyDescent="0.2">
      <c r="A64" s="25" t="s">
        <v>418</v>
      </c>
      <c r="B64" s="26" t="s">
        <v>419</v>
      </c>
      <c r="C64" s="25" t="s">
        <v>585</v>
      </c>
      <c r="D64" s="26"/>
      <c r="E64" s="25" t="s">
        <v>299</v>
      </c>
      <c r="F64" s="25"/>
      <c r="G64" s="39" t="s">
        <v>299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2">
        <f>COUNTIF(F64:T64, "FP")</f>
        <v>1</v>
      </c>
      <c r="V64" s="22">
        <f>COUNTIF(F64:T64, "XX")</f>
        <v>0</v>
      </c>
      <c r="W64" s="22">
        <f>U64+V64</f>
        <v>1</v>
      </c>
      <c r="X64" s="37" t="s">
        <v>255</v>
      </c>
    </row>
    <row r="65" spans="1:24" ht="16" x14ac:dyDescent="0.2">
      <c r="A65" s="25" t="s">
        <v>420</v>
      </c>
      <c r="B65" s="26" t="s">
        <v>421</v>
      </c>
      <c r="C65" s="25" t="s">
        <v>584</v>
      </c>
      <c r="D65" s="26"/>
      <c r="E65" s="25" t="s">
        <v>299</v>
      </c>
      <c r="F65" s="39" t="s">
        <v>299</v>
      </c>
      <c r="G65" s="38" t="s">
        <v>652</v>
      </c>
      <c r="H65" s="39" t="s">
        <v>299</v>
      </c>
      <c r="I65" s="39" t="s">
        <v>299</v>
      </c>
      <c r="J65" s="38" t="s">
        <v>652</v>
      </c>
      <c r="K65" s="38" t="s">
        <v>652</v>
      </c>
      <c r="L65" s="38" t="s">
        <v>652</v>
      </c>
      <c r="M65" s="39" t="s">
        <v>299</v>
      </c>
      <c r="N65" s="25"/>
      <c r="O65" s="39" t="s">
        <v>299</v>
      </c>
      <c r="P65" s="25"/>
      <c r="Q65" s="38" t="s">
        <v>652</v>
      </c>
      <c r="R65" s="25"/>
      <c r="S65" s="25"/>
      <c r="T65" s="25"/>
      <c r="U65" s="22">
        <f>COUNTIF(F65:T65, "FP")</f>
        <v>5</v>
      </c>
      <c r="V65" s="22">
        <f>COUNTIF(F65:T65, "XX")</f>
        <v>5</v>
      </c>
      <c r="W65" s="22">
        <f>U65+V65</f>
        <v>10</v>
      </c>
      <c r="X65" s="37" t="s">
        <v>257</v>
      </c>
    </row>
    <row r="66" spans="1:24" s="40" customFormat="1" ht="16" x14ac:dyDescent="0.2">
      <c r="A66" s="42" t="s">
        <v>422</v>
      </c>
      <c r="B66" s="43" t="s">
        <v>423</v>
      </c>
      <c r="C66" s="42" t="s">
        <v>583</v>
      </c>
      <c r="D66" s="43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0">
        <f>COUNTIF(F66:T66, "FP")</f>
        <v>0</v>
      </c>
      <c r="V66" s="40">
        <f>COUNTIF(F66:T66, "XX")</f>
        <v>0</v>
      </c>
      <c r="W66" s="40">
        <f>U66+V66</f>
        <v>0</v>
      </c>
      <c r="X66" s="41" t="s">
        <v>255</v>
      </c>
    </row>
    <row r="67" spans="1:24" ht="16" x14ac:dyDescent="0.2">
      <c r="A67" s="25" t="s">
        <v>424</v>
      </c>
      <c r="B67" s="26" t="s">
        <v>425</v>
      </c>
      <c r="C67" s="25" t="s">
        <v>582</v>
      </c>
      <c r="D67" s="26"/>
      <c r="E67" s="25" t="s">
        <v>299</v>
      </c>
      <c r="F67" s="38" t="s">
        <v>652</v>
      </c>
      <c r="G67" s="38" t="s">
        <v>652</v>
      </c>
      <c r="H67" s="38" t="s">
        <v>652</v>
      </c>
      <c r="I67" s="38" t="s">
        <v>652</v>
      </c>
      <c r="J67" s="38" t="s">
        <v>652</v>
      </c>
      <c r="K67" s="38" t="s">
        <v>652</v>
      </c>
      <c r="L67" s="38" t="s">
        <v>652</v>
      </c>
      <c r="M67" s="39" t="s">
        <v>299</v>
      </c>
      <c r="N67" s="25"/>
      <c r="O67" s="25"/>
      <c r="P67" s="25"/>
      <c r="Q67" s="38" t="s">
        <v>652</v>
      </c>
      <c r="R67" s="25"/>
      <c r="S67" s="25"/>
      <c r="T67" s="25"/>
      <c r="U67" s="22">
        <f>COUNTIF(F67:T67, "FP")</f>
        <v>1</v>
      </c>
      <c r="V67" s="22">
        <f>COUNTIF(F67:T67, "XX")</f>
        <v>8</v>
      </c>
      <c r="W67" s="22">
        <f>U67+V67</f>
        <v>9</v>
      </c>
      <c r="X67" s="37" t="s">
        <v>256</v>
      </c>
    </row>
    <row r="68" spans="1:24" ht="16" x14ac:dyDescent="0.2">
      <c r="A68" s="25" t="s">
        <v>426</v>
      </c>
      <c r="B68" s="26" t="s">
        <v>303</v>
      </c>
      <c r="C68" s="25" t="s">
        <v>581</v>
      </c>
      <c r="D68" s="26"/>
      <c r="E68" s="25" t="s">
        <v>299</v>
      </c>
      <c r="F68" s="39" t="s">
        <v>299</v>
      </c>
      <c r="G68" s="25"/>
      <c r="H68" s="25"/>
      <c r="I68" s="39" t="s">
        <v>299</v>
      </c>
      <c r="J68" s="39" t="s">
        <v>299</v>
      </c>
      <c r="K68" s="39" t="s">
        <v>299</v>
      </c>
      <c r="L68" s="38" t="s">
        <v>652</v>
      </c>
      <c r="M68" s="39" t="s">
        <v>299</v>
      </c>
      <c r="N68" s="25"/>
      <c r="O68" s="25"/>
      <c r="P68" s="25"/>
      <c r="Q68" s="38" t="s">
        <v>652</v>
      </c>
      <c r="R68" s="25"/>
      <c r="S68" s="25"/>
      <c r="T68" s="25"/>
      <c r="U68" s="22">
        <f>COUNTIF(F68:T68, "FP")</f>
        <v>5</v>
      </c>
      <c r="V68" s="22">
        <f>COUNTIF(F68:T68, "XX")</f>
        <v>2</v>
      </c>
      <c r="W68" s="22">
        <f>U68+V68</f>
        <v>7</v>
      </c>
      <c r="X68" s="37" t="s">
        <v>255</v>
      </c>
    </row>
    <row r="69" spans="1:24" ht="16" x14ac:dyDescent="0.2">
      <c r="A69" s="25" t="s">
        <v>427</v>
      </c>
      <c r="B69" s="26" t="s">
        <v>428</v>
      </c>
      <c r="C69" s="25" t="s">
        <v>580</v>
      </c>
      <c r="D69" s="26"/>
      <c r="E69" s="25" t="s">
        <v>299</v>
      </c>
      <c r="F69" s="39" t="s">
        <v>299</v>
      </c>
      <c r="G69" s="38" t="s">
        <v>652</v>
      </c>
      <c r="H69" s="39" t="s">
        <v>299</v>
      </c>
      <c r="I69" s="39" t="s">
        <v>299</v>
      </c>
      <c r="J69" s="39" t="s">
        <v>299</v>
      </c>
      <c r="K69" s="38" t="s">
        <v>652</v>
      </c>
      <c r="L69" s="38" t="s">
        <v>652</v>
      </c>
      <c r="M69" s="39" t="s">
        <v>299</v>
      </c>
      <c r="N69" s="25"/>
      <c r="O69" s="38" t="s">
        <v>652</v>
      </c>
      <c r="P69" s="25"/>
      <c r="Q69" s="38" t="s">
        <v>652</v>
      </c>
      <c r="R69" s="25"/>
      <c r="S69" s="25"/>
      <c r="T69" s="25"/>
      <c r="U69" s="22">
        <f>COUNTIF(F69:T69, "FP")</f>
        <v>5</v>
      </c>
      <c r="V69" s="22">
        <f>COUNTIF(F69:T69, "XX")</f>
        <v>5</v>
      </c>
      <c r="W69" s="22">
        <f>U69+V69</f>
        <v>10</v>
      </c>
      <c r="X69" s="37" t="s">
        <v>256</v>
      </c>
    </row>
    <row r="70" spans="1:24" ht="16" x14ac:dyDescent="0.2">
      <c r="A70" s="25" t="s">
        <v>429</v>
      </c>
      <c r="B70" s="26" t="s">
        <v>430</v>
      </c>
      <c r="C70" s="25" t="s">
        <v>579</v>
      </c>
      <c r="D70" s="26"/>
      <c r="E70" s="25" t="s">
        <v>299</v>
      </c>
      <c r="F70" s="25"/>
      <c r="G70" s="38" t="s">
        <v>652</v>
      </c>
      <c r="H70" s="25"/>
      <c r="I70" s="38" t="s">
        <v>652</v>
      </c>
      <c r="J70" s="38" t="s">
        <v>652</v>
      </c>
      <c r="K70" s="38" t="s">
        <v>652</v>
      </c>
      <c r="L70" s="38" t="s">
        <v>652</v>
      </c>
      <c r="M70" s="38" t="s">
        <v>652</v>
      </c>
      <c r="N70" s="25"/>
      <c r="O70" s="25"/>
      <c r="P70" s="25"/>
      <c r="Q70" s="25"/>
      <c r="R70" s="25"/>
      <c r="S70" s="25"/>
      <c r="T70" s="25"/>
      <c r="U70" s="22">
        <f>COUNTIF(F70:T70, "FP")</f>
        <v>0</v>
      </c>
      <c r="V70" s="22">
        <f>COUNTIF(F70:T70, "XX")</f>
        <v>6</v>
      </c>
      <c r="W70" s="22">
        <f>U70+V70</f>
        <v>6</v>
      </c>
      <c r="X70" s="37" t="s">
        <v>255</v>
      </c>
    </row>
    <row r="71" spans="1:24" ht="16" x14ac:dyDescent="0.2">
      <c r="A71" s="25" t="s">
        <v>431</v>
      </c>
      <c r="B71" s="26" t="s">
        <v>432</v>
      </c>
      <c r="C71" s="25" t="s">
        <v>578</v>
      </c>
      <c r="D71" s="26"/>
      <c r="E71" s="25" t="s">
        <v>299</v>
      </c>
      <c r="F71" s="39" t="s">
        <v>299</v>
      </c>
      <c r="G71" s="38" t="s">
        <v>652</v>
      </c>
      <c r="H71" s="38" t="s">
        <v>652</v>
      </c>
      <c r="I71" s="39" t="s">
        <v>299</v>
      </c>
      <c r="J71" s="38" t="s">
        <v>652</v>
      </c>
      <c r="K71" s="38" t="s">
        <v>652</v>
      </c>
      <c r="L71" s="38" t="s">
        <v>652</v>
      </c>
      <c r="M71" s="39" t="s">
        <v>299</v>
      </c>
      <c r="N71" s="25"/>
      <c r="O71" s="25"/>
      <c r="P71" s="25"/>
      <c r="Q71" s="38" t="s">
        <v>652</v>
      </c>
      <c r="R71" s="25"/>
      <c r="S71" s="25"/>
      <c r="T71" s="25"/>
      <c r="U71" s="22">
        <f>COUNTIF(F71:T71, "FP")</f>
        <v>3</v>
      </c>
      <c r="V71" s="22">
        <f>COUNTIF(F71:T71, "XX")</f>
        <v>6</v>
      </c>
      <c r="W71" s="22">
        <f>U71+V71</f>
        <v>9</v>
      </c>
      <c r="X71" s="37" t="s">
        <v>256</v>
      </c>
    </row>
    <row r="72" spans="1:24" ht="16" x14ac:dyDescent="0.2">
      <c r="A72" s="25" t="s">
        <v>433</v>
      </c>
      <c r="B72" s="26" t="s">
        <v>434</v>
      </c>
      <c r="C72" s="25" t="s">
        <v>577</v>
      </c>
      <c r="D72" s="26"/>
      <c r="E72" s="25" t="s">
        <v>299</v>
      </c>
      <c r="F72" s="39" t="s">
        <v>299</v>
      </c>
      <c r="G72" s="25"/>
      <c r="H72" s="39" t="s">
        <v>299</v>
      </c>
      <c r="I72" s="38" t="s">
        <v>652</v>
      </c>
      <c r="J72" s="39" t="s">
        <v>299</v>
      </c>
      <c r="K72" s="38" t="s">
        <v>652</v>
      </c>
      <c r="L72" s="38" t="s">
        <v>652</v>
      </c>
      <c r="M72" s="39" t="s">
        <v>299</v>
      </c>
      <c r="N72" s="25"/>
      <c r="O72" s="25"/>
      <c r="P72" s="38" t="s">
        <v>652</v>
      </c>
      <c r="Q72" s="38" t="s">
        <v>652</v>
      </c>
      <c r="R72" s="25"/>
      <c r="S72" s="25"/>
      <c r="T72" s="25"/>
      <c r="U72" s="22">
        <f>COUNTIF(F72:T72, "FP")</f>
        <v>4</v>
      </c>
      <c r="V72" s="22">
        <f>COUNTIF(F72:T72, "XX")</f>
        <v>5</v>
      </c>
      <c r="W72" s="22">
        <f>U72+V72</f>
        <v>9</v>
      </c>
      <c r="X72" s="37" t="s">
        <v>255</v>
      </c>
    </row>
    <row r="73" spans="1:24" ht="16" x14ac:dyDescent="0.2">
      <c r="A73" s="25" t="s">
        <v>435</v>
      </c>
      <c r="B73" s="26" t="s">
        <v>436</v>
      </c>
      <c r="C73" s="25" t="s">
        <v>576</v>
      </c>
      <c r="D73" s="26"/>
      <c r="E73" s="25" t="s">
        <v>299</v>
      </c>
      <c r="F73" s="38" t="s">
        <v>652</v>
      </c>
      <c r="G73" s="25"/>
      <c r="H73" s="38" t="s">
        <v>652</v>
      </c>
      <c r="I73" s="38" t="s">
        <v>652</v>
      </c>
      <c r="J73" s="38" t="s">
        <v>652</v>
      </c>
      <c r="K73" s="38" t="s">
        <v>652</v>
      </c>
      <c r="L73" s="38" t="s">
        <v>652</v>
      </c>
      <c r="M73" s="38" t="s">
        <v>652</v>
      </c>
      <c r="N73" s="25"/>
      <c r="O73" s="25"/>
      <c r="P73" s="25"/>
      <c r="Q73" s="25"/>
      <c r="R73" s="25"/>
      <c r="S73" s="25"/>
      <c r="T73" s="25"/>
      <c r="U73" s="22">
        <f>COUNTIF(F73:T73, "FP")</f>
        <v>0</v>
      </c>
      <c r="V73" s="22">
        <f>COUNTIF(F73:T73, "XX")</f>
        <v>7</v>
      </c>
      <c r="W73" s="22">
        <f>U73+V73</f>
        <v>7</v>
      </c>
      <c r="X73" s="37" t="s">
        <v>255</v>
      </c>
    </row>
    <row r="74" spans="1:24" ht="16" x14ac:dyDescent="0.2">
      <c r="A74" s="25" t="s">
        <v>437</v>
      </c>
      <c r="B74" s="26" t="s">
        <v>438</v>
      </c>
      <c r="C74" s="25" t="s">
        <v>575</v>
      </c>
      <c r="D74" s="26"/>
      <c r="E74" s="25" t="s">
        <v>299</v>
      </c>
      <c r="F74" s="38" t="s">
        <v>652</v>
      </c>
      <c r="G74" s="38" t="s">
        <v>652</v>
      </c>
      <c r="H74" s="38" t="s">
        <v>652</v>
      </c>
      <c r="I74" s="38" t="s">
        <v>652</v>
      </c>
      <c r="J74" s="38" t="s">
        <v>652</v>
      </c>
      <c r="K74" s="38" t="s">
        <v>652</v>
      </c>
      <c r="L74" s="38" t="s">
        <v>652</v>
      </c>
      <c r="M74" s="38" t="s">
        <v>652</v>
      </c>
      <c r="N74" s="25"/>
      <c r="O74" s="38" t="s">
        <v>652</v>
      </c>
      <c r="P74" s="38" t="s">
        <v>652</v>
      </c>
      <c r="Q74" s="38" t="s">
        <v>652</v>
      </c>
      <c r="R74" s="38" t="s">
        <v>652</v>
      </c>
      <c r="S74" s="38" t="s">
        <v>652</v>
      </c>
      <c r="T74" s="25"/>
      <c r="U74" s="22">
        <f>COUNTIF(F74:T74, "FP")</f>
        <v>0</v>
      </c>
      <c r="V74" s="22">
        <f>COUNTIF(F74:T74, "XX")</f>
        <v>13</v>
      </c>
      <c r="W74" s="22">
        <f>U74+V74</f>
        <v>13</v>
      </c>
      <c r="X74" s="37" t="s">
        <v>258</v>
      </c>
    </row>
    <row r="75" spans="1:24" ht="16" x14ac:dyDescent="0.2">
      <c r="A75" s="25" t="s">
        <v>439</v>
      </c>
      <c r="B75" s="26" t="s">
        <v>440</v>
      </c>
      <c r="C75" s="25" t="s">
        <v>574</v>
      </c>
      <c r="D75" s="26"/>
      <c r="E75" s="25" t="s">
        <v>299</v>
      </c>
      <c r="F75" s="38" t="s">
        <v>652</v>
      </c>
      <c r="G75" s="25"/>
      <c r="H75" s="38" t="s">
        <v>652</v>
      </c>
      <c r="I75" s="39" t="s">
        <v>299</v>
      </c>
      <c r="J75" s="38" t="s">
        <v>652</v>
      </c>
      <c r="K75" s="25"/>
      <c r="L75" s="38" t="s">
        <v>652</v>
      </c>
      <c r="M75" s="25"/>
      <c r="N75" s="25"/>
      <c r="O75" s="25"/>
      <c r="P75" s="25"/>
      <c r="Q75" s="38" t="s">
        <v>652</v>
      </c>
      <c r="R75" s="25"/>
      <c r="S75" s="25"/>
      <c r="T75" s="25"/>
      <c r="U75" s="22">
        <f>COUNTIF(F75:T75, "FP")</f>
        <v>1</v>
      </c>
      <c r="V75" s="22">
        <f>COUNTIF(F75:T75, "XX")</f>
        <v>5</v>
      </c>
      <c r="W75" s="22">
        <f>U75+V75</f>
        <v>6</v>
      </c>
      <c r="X75" s="37" t="s">
        <v>255</v>
      </c>
    </row>
    <row r="76" spans="1:24" ht="16" x14ac:dyDescent="0.2">
      <c r="A76" s="25" t="s">
        <v>441</v>
      </c>
      <c r="B76" s="26" t="s">
        <v>376</v>
      </c>
      <c r="C76" s="25" t="s">
        <v>573</v>
      </c>
      <c r="D76" s="26"/>
      <c r="E76" s="25" t="s">
        <v>299</v>
      </c>
      <c r="F76" s="38" t="s">
        <v>652</v>
      </c>
      <c r="G76" s="38" t="s">
        <v>652</v>
      </c>
      <c r="H76" s="38" t="s">
        <v>652</v>
      </c>
      <c r="I76" s="38" t="s">
        <v>652</v>
      </c>
      <c r="J76" s="38" t="s">
        <v>652</v>
      </c>
      <c r="K76" s="38" t="s">
        <v>652</v>
      </c>
      <c r="L76" s="38" t="s">
        <v>652</v>
      </c>
      <c r="M76" s="38" t="s">
        <v>652</v>
      </c>
      <c r="N76" s="25"/>
      <c r="O76" s="38" t="s">
        <v>652</v>
      </c>
      <c r="P76" s="38" t="s">
        <v>652</v>
      </c>
      <c r="Q76" s="38" t="s">
        <v>652</v>
      </c>
      <c r="R76" s="38" t="s">
        <v>652</v>
      </c>
      <c r="S76" s="25"/>
      <c r="T76" s="38" t="s">
        <v>652</v>
      </c>
      <c r="U76" s="22">
        <f>COUNTIF(F76:T76, "FP")</f>
        <v>0</v>
      </c>
      <c r="V76" s="22">
        <f>COUNTIF(F76:T76, "XX")</f>
        <v>13</v>
      </c>
      <c r="W76" s="22">
        <f>U76+V76</f>
        <v>13</v>
      </c>
      <c r="X76" s="37" t="s">
        <v>258</v>
      </c>
    </row>
    <row r="77" spans="1:24" ht="16" x14ac:dyDescent="0.2">
      <c r="A77" s="25" t="s">
        <v>442</v>
      </c>
      <c r="B77" s="26" t="s">
        <v>443</v>
      </c>
      <c r="C77" s="25" t="s">
        <v>572</v>
      </c>
      <c r="D77" s="26"/>
      <c r="E77" s="25" t="s">
        <v>299</v>
      </c>
      <c r="F77" s="25"/>
      <c r="G77" s="25"/>
      <c r="H77" s="25"/>
      <c r="I77" s="39" t="s">
        <v>299</v>
      </c>
      <c r="J77" s="39" t="s">
        <v>299</v>
      </c>
      <c r="K77" s="39" t="s">
        <v>299</v>
      </c>
      <c r="L77" s="25"/>
      <c r="M77" s="25"/>
      <c r="N77" s="25"/>
      <c r="O77" s="25"/>
      <c r="P77" s="25"/>
      <c r="Q77" s="25"/>
      <c r="R77" s="25"/>
      <c r="S77" s="25"/>
      <c r="T77" s="25"/>
      <c r="U77" s="22">
        <f>COUNTIF(F77:T77, "FP")</f>
        <v>3</v>
      </c>
      <c r="V77" s="22">
        <f>COUNTIF(F77:T77, "XX")</f>
        <v>0</v>
      </c>
      <c r="W77" s="22">
        <f>U77+V77</f>
        <v>3</v>
      </c>
      <c r="X77" s="37" t="s">
        <v>255</v>
      </c>
    </row>
    <row r="78" spans="1:24" ht="16" x14ac:dyDescent="0.2">
      <c r="A78" s="25" t="s">
        <v>444</v>
      </c>
      <c r="B78" s="26" t="s">
        <v>445</v>
      </c>
      <c r="C78" s="25" t="s">
        <v>571</v>
      </c>
      <c r="D78" s="26"/>
      <c r="E78" s="25" t="s">
        <v>299</v>
      </c>
      <c r="F78" s="39" t="s">
        <v>299</v>
      </c>
      <c r="G78" s="38" t="s">
        <v>652</v>
      </c>
      <c r="H78" s="39" t="s">
        <v>299</v>
      </c>
      <c r="I78" s="39" t="s">
        <v>299</v>
      </c>
      <c r="J78" s="39" t="s">
        <v>299</v>
      </c>
      <c r="K78" s="38" t="s">
        <v>652</v>
      </c>
      <c r="L78" s="38" t="s">
        <v>652</v>
      </c>
      <c r="M78" s="39" t="s">
        <v>299</v>
      </c>
      <c r="N78" s="25"/>
      <c r="O78" s="38" t="s">
        <v>652</v>
      </c>
      <c r="P78" s="38" t="s">
        <v>652</v>
      </c>
      <c r="Q78" s="38" t="s">
        <v>652</v>
      </c>
      <c r="R78" s="38" t="s">
        <v>652</v>
      </c>
      <c r="S78" s="38" t="s">
        <v>652</v>
      </c>
      <c r="T78" s="25"/>
      <c r="U78" s="22">
        <f>COUNTIF(F78:T78, "FP")</f>
        <v>5</v>
      </c>
      <c r="V78" s="22">
        <f>COUNTIF(F78:T78, "XX")</f>
        <v>8</v>
      </c>
      <c r="W78" s="22">
        <f>U78+V78</f>
        <v>13</v>
      </c>
      <c r="X78" s="37" t="s">
        <v>258</v>
      </c>
    </row>
    <row r="79" spans="1:24" ht="16" x14ac:dyDescent="0.2">
      <c r="A79" s="25" t="s">
        <v>446</v>
      </c>
      <c r="B79" s="26" t="s">
        <v>447</v>
      </c>
      <c r="C79" s="25" t="s">
        <v>570</v>
      </c>
      <c r="D79" s="26"/>
      <c r="E79" s="25" t="s">
        <v>299</v>
      </c>
      <c r="F79" s="25"/>
      <c r="G79" s="25"/>
      <c r="H79" s="25"/>
      <c r="I79" s="39" t="s">
        <v>299</v>
      </c>
      <c r="J79" s="38" t="s">
        <v>652</v>
      </c>
      <c r="K79" s="38" t="s">
        <v>652</v>
      </c>
      <c r="L79" s="25"/>
      <c r="M79" s="25"/>
      <c r="N79" s="25"/>
      <c r="O79" s="25"/>
      <c r="P79" s="25"/>
      <c r="Q79" s="25"/>
      <c r="R79" s="25"/>
      <c r="S79" s="25"/>
      <c r="T79" s="25"/>
      <c r="U79" s="22">
        <f>COUNTIF(F79:T79, "FP")</f>
        <v>1</v>
      </c>
      <c r="V79" s="22">
        <f>COUNTIF(F79:T79, "XX")</f>
        <v>2</v>
      </c>
      <c r="W79" s="22">
        <f>U79+V79</f>
        <v>3</v>
      </c>
      <c r="X79" s="37" t="s">
        <v>255</v>
      </c>
    </row>
    <row r="80" spans="1:24" ht="16" x14ac:dyDescent="0.2">
      <c r="A80" s="25" t="s">
        <v>448</v>
      </c>
      <c r="B80" s="26" t="s">
        <v>449</v>
      </c>
      <c r="C80" s="25" t="s">
        <v>569</v>
      </c>
      <c r="D80" s="26"/>
      <c r="E80" s="25" t="s">
        <v>299</v>
      </c>
      <c r="F80" s="38" t="s">
        <v>652</v>
      </c>
      <c r="G80" s="25"/>
      <c r="H80" s="25"/>
      <c r="I80" s="25"/>
      <c r="J80" s="38" t="s">
        <v>652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2">
        <f>COUNTIF(F80:T80, "FP")</f>
        <v>0</v>
      </c>
      <c r="V80" s="22">
        <f>COUNTIF(F80:T80, "XX")</f>
        <v>2</v>
      </c>
      <c r="W80" s="22">
        <f>U80+V80</f>
        <v>2</v>
      </c>
      <c r="X80" s="37" t="s">
        <v>255</v>
      </c>
    </row>
    <row r="81" spans="1:24" ht="16" x14ac:dyDescent="0.2">
      <c r="A81" s="25" t="s">
        <v>450</v>
      </c>
      <c r="B81" s="26" t="s">
        <v>451</v>
      </c>
      <c r="C81" s="25" t="s">
        <v>568</v>
      </c>
      <c r="D81" s="26"/>
      <c r="E81" s="25" t="s">
        <v>299</v>
      </c>
      <c r="F81" s="38" t="s">
        <v>652</v>
      </c>
      <c r="G81" s="25"/>
      <c r="H81" s="25"/>
      <c r="I81" s="25"/>
      <c r="J81" s="38" t="s">
        <v>652</v>
      </c>
      <c r="K81" s="25"/>
      <c r="L81" s="38" t="s">
        <v>652</v>
      </c>
      <c r="M81" s="39" t="s">
        <v>299</v>
      </c>
      <c r="N81" s="25"/>
      <c r="O81" s="25"/>
      <c r="P81" s="25"/>
      <c r="Q81" s="38" t="s">
        <v>652</v>
      </c>
      <c r="R81" s="25"/>
      <c r="S81" s="25"/>
      <c r="T81" s="25"/>
      <c r="U81" s="22">
        <f>COUNTIF(F81:T81, "FP")</f>
        <v>1</v>
      </c>
      <c r="V81" s="22">
        <f>COUNTIF(F81:T81, "XX")</f>
        <v>4</v>
      </c>
      <c r="W81" s="22">
        <f>U81+V81</f>
        <v>5</v>
      </c>
      <c r="X81" s="37" t="s">
        <v>255</v>
      </c>
    </row>
    <row r="82" spans="1:24" ht="16" x14ac:dyDescent="0.2">
      <c r="A82" s="25" t="s">
        <v>452</v>
      </c>
      <c r="B82" s="26" t="s">
        <v>453</v>
      </c>
      <c r="C82" s="25" t="s">
        <v>567</v>
      </c>
      <c r="D82" s="26"/>
      <c r="E82" s="25" t="s">
        <v>299</v>
      </c>
      <c r="F82" s="38" t="s">
        <v>652</v>
      </c>
      <c r="G82" s="25"/>
      <c r="H82" s="25"/>
      <c r="I82" s="25"/>
      <c r="J82" s="38" t="s">
        <v>652</v>
      </c>
      <c r="K82" s="25"/>
      <c r="L82" s="25"/>
      <c r="M82" s="38" t="s">
        <v>652</v>
      </c>
      <c r="N82" s="25"/>
      <c r="O82" s="25"/>
      <c r="P82" s="25"/>
      <c r="Q82" s="25"/>
      <c r="R82" s="25"/>
      <c r="S82" s="25"/>
      <c r="T82" s="25"/>
      <c r="U82" s="22">
        <f>COUNTIF(F82:T82, "FP")</f>
        <v>0</v>
      </c>
      <c r="V82" s="22">
        <f>COUNTIF(F82:T82, "XX")</f>
        <v>3</v>
      </c>
      <c r="W82" s="22">
        <f>U82+V82</f>
        <v>3</v>
      </c>
      <c r="X82" s="37" t="s">
        <v>255</v>
      </c>
    </row>
    <row r="83" spans="1:24" ht="16" x14ac:dyDescent="0.2">
      <c r="A83" s="25" t="s">
        <v>454</v>
      </c>
      <c r="B83" s="26" t="s">
        <v>455</v>
      </c>
      <c r="C83" s="25" t="s">
        <v>566</v>
      </c>
      <c r="D83" s="26"/>
      <c r="E83" s="25" t="s">
        <v>299</v>
      </c>
      <c r="F83" s="39" t="s">
        <v>299</v>
      </c>
      <c r="G83" s="38" t="s">
        <v>652</v>
      </c>
      <c r="H83" s="39" t="s">
        <v>299</v>
      </c>
      <c r="I83" s="39" t="s">
        <v>299</v>
      </c>
      <c r="J83" s="38" t="s">
        <v>652</v>
      </c>
      <c r="K83" s="38" t="s">
        <v>652</v>
      </c>
      <c r="L83" s="39" t="s">
        <v>299</v>
      </c>
      <c r="M83" s="39" t="s">
        <v>299</v>
      </c>
      <c r="N83" s="25"/>
      <c r="O83" s="38" t="s">
        <v>652</v>
      </c>
      <c r="P83" s="38" t="s">
        <v>652</v>
      </c>
      <c r="Q83" s="38" t="s">
        <v>652</v>
      </c>
      <c r="R83" s="38" t="s">
        <v>652</v>
      </c>
      <c r="S83" s="38" t="s">
        <v>652</v>
      </c>
      <c r="T83" s="25"/>
      <c r="U83" s="22">
        <f>COUNTIF(F83:T83, "FP")</f>
        <v>5</v>
      </c>
      <c r="V83" s="22">
        <f>COUNTIF(F83:T83, "XX")</f>
        <v>8</v>
      </c>
      <c r="W83" s="22">
        <f>U83+V83</f>
        <v>13</v>
      </c>
      <c r="X83" s="37" t="s">
        <v>258</v>
      </c>
    </row>
    <row r="84" spans="1:24" ht="16" x14ac:dyDescent="0.2">
      <c r="A84" s="25" t="s">
        <v>456</v>
      </c>
      <c r="B84" s="26" t="s">
        <v>457</v>
      </c>
      <c r="C84" s="25" t="s">
        <v>565</v>
      </c>
      <c r="D84" s="26"/>
      <c r="E84" s="25" t="s">
        <v>299</v>
      </c>
      <c r="F84" s="38" t="s">
        <v>652</v>
      </c>
      <c r="G84" s="25"/>
      <c r="H84" s="25"/>
      <c r="I84" s="38" t="s">
        <v>652</v>
      </c>
      <c r="J84" s="38" t="s">
        <v>652</v>
      </c>
      <c r="K84" s="38" t="s">
        <v>652</v>
      </c>
      <c r="L84" s="38" t="s">
        <v>652</v>
      </c>
      <c r="M84" s="25"/>
      <c r="N84" s="25"/>
      <c r="O84" s="25"/>
      <c r="P84" s="25"/>
      <c r="Q84" s="25"/>
      <c r="R84" s="25"/>
      <c r="S84" s="25"/>
      <c r="T84" s="25"/>
      <c r="U84" s="22">
        <f>COUNTIF(F84:T84, "FP")</f>
        <v>0</v>
      </c>
      <c r="V84" s="22">
        <f>COUNTIF(F84:T84, "XX")</f>
        <v>5</v>
      </c>
      <c r="W84" s="22">
        <f>U84+V84</f>
        <v>5</v>
      </c>
      <c r="X84" s="37" t="s">
        <v>255</v>
      </c>
    </row>
    <row r="85" spans="1:24" ht="16" x14ac:dyDescent="0.2">
      <c r="A85" s="25" t="s">
        <v>458</v>
      </c>
      <c r="B85" s="26" t="s">
        <v>459</v>
      </c>
      <c r="C85" s="25" t="s">
        <v>564</v>
      </c>
      <c r="D85" s="26"/>
      <c r="E85" s="25" t="s">
        <v>299</v>
      </c>
      <c r="F85" s="39" t="s">
        <v>299</v>
      </c>
      <c r="G85" s="25"/>
      <c r="H85" s="25"/>
      <c r="I85" s="25"/>
      <c r="J85" s="39" t="s">
        <v>299</v>
      </c>
      <c r="K85" s="25"/>
      <c r="L85" s="38" t="s">
        <v>652</v>
      </c>
      <c r="M85" s="39" t="s">
        <v>299</v>
      </c>
      <c r="N85" s="25"/>
      <c r="O85" s="25"/>
      <c r="P85" s="25"/>
      <c r="Q85" s="38" t="s">
        <v>652</v>
      </c>
      <c r="R85" s="25"/>
      <c r="S85" s="25"/>
      <c r="T85" s="25"/>
      <c r="U85" s="22">
        <f>COUNTIF(F85:T85, "FP")</f>
        <v>3</v>
      </c>
      <c r="V85" s="22">
        <f>COUNTIF(F85:T85, "XX")</f>
        <v>2</v>
      </c>
      <c r="W85" s="22">
        <f>U85+V85</f>
        <v>5</v>
      </c>
      <c r="X85" s="37" t="s">
        <v>255</v>
      </c>
    </row>
    <row r="86" spans="1:24" ht="16" x14ac:dyDescent="0.2">
      <c r="A86" s="25" t="s">
        <v>460</v>
      </c>
      <c r="B86" s="26" t="s">
        <v>461</v>
      </c>
      <c r="C86" s="25" t="s">
        <v>563</v>
      </c>
      <c r="D86" s="26"/>
      <c r="E86" s="25" t="s">
        <v>299</v>
      </c>
      <c r="F86" s="39" t="s">
        <v>299</v>
      </c>
      <c r="G86" s="38" t="s">
        <v>652</v>
      </c>
      <c r="H86" s="25"/>
      <c r="I86" s="38" t="s">
        <v>652</v>
      </c>
      <c r="J86" s="38" t="s">
        <v>652</v>
      </c>
      <c r="K86" s="38" t="s">
        <v>652</v>
      </c>
      <c r="L86" s="38" t="s">
        <v>652</v>
      </c>
      <c r="M86" s="38" t="s">
        <v>652</v>
      </c>
      <c r="N86" s="25"/>
      <c r="O86" s="25"/>
      <c r="P86" s="25"/>
      <c r="Q86" s="25"/>
      <c r="R86" s="25"/>
      <c r="S86" s="25"/>
      <c r="T86" s="25"/>
      <c r="U86" s="22">
        <f>COUNTIF(F86:T86, "FP")</f>
        <v>1</v>
      </c>
      <c r="V86" s="22">
        <f>COUNTIF(F86:T86, "XX")</f>
        <v>6</v>
      </c>
      <c r="W86" s="22">
        <f>U86+V86</f>
        <v>7</v>
      </c>
      <c r="X86" s="37" t="s">
        <v>255</v>
      </c>
    </row>
    <row r="87" spans="1:24" ht="16" x14ac:dyDescent="0.2">
      <c r="A87" s="25" t="s">
        <v>462</v>
      </c>
      <c r="B87" s="26" t="s">
        <v>463</v>
      </c>
      <c r="C87" s="25" t="s">
        <v>562</v>
      </c>
      <c r="D87" s="26"/>
      <c r="E87" s="25" t="s">
        <v>299</v>
      </c>
      <c r="F87" s="39" t="s">
        <v>299</v>
      </c>
      <c r="G87" s="39" t="s">
        <v>299</v>
      </c>
      <c r="H87" s="39" t="s">
        <v>299</v>
      </c>
      <c r="I87" s="39" t="s">
        <v>299</v>
      </c>
      <c r="J87" s="38" t="s">
        <v>652</v>
      </c>
      <c r="K87" s="38" t="s">
        <v>652</v>
      </c>
      <c r="L87" s="38" t="s">
        <v>652</v>
      </c>
      <c r="M87" s="39" t="s">
        <v>299</v>
      </c>
      <c r="N87" s="25"/>
      <c r="O87" s="38" t="s">
        <v>652</v>
      </c>
      <c r="P87" s="38" t="s">
        <v>652</v>
      </c>
      <c r="Q87" s="38" t="s">
        <v>652</v>
      </c>
      <c r="R87" s="38" t="s">
        <v>652</v>
      </c>
      <c r="S87" s="38" t="s">
        <v>652</v>
      </c>
      <c r="T87" s="25"/>
      <c r="U87" s="22">
        <f>COUNTIF(F87:T87, "FP")</f>
        <v>5</v>
      </c>
      <c r="V87" s="22">
        <f>COUNTIF(F87:T87, "XX")</f>
        <v>8</v>
      </c>
      <c r="W87" s="22">
        <f>U87+V87</f>
        <v>13</v>
      </c>
      <c r="X87" s="37" t="s">
        <v>258</v>
      </c>
    </row>
    <row r="88" spans="1:24" ht="16" x14ac:dyDescent="0.2">
      <c r="A88" s="25" t="s">
        <v>464</v>
      </c>
      <c r="B88" s="26" t="s">
        <v>465</v>
      </c>
      <c r="C88" s="25" t="s">
        <v>561</v>
      </c>
      <c r="D88" s="26"/>
      <c r="E88" s="25" t="s">
        <v>299</v>
      </c>
      <c r="F88" s="39" t="s">
        <v>299</v>
      </c>
      <c r="G88" s="38" t="s">
        <v>652</v>
      </c>
      <c r="H88" s="38" t="s">
        <v>652</v>
      </c>
      <c r="I88" s="39" t="s">
        <v>299</v>
      </c>
      <c r="J88" s="38" t="s">
        <v>652</v>
      </c>
      <c r="K88" s="39" t="s">
        <v>299</v>
      </c>
      <c r="L88" s="38" t="s">
        <v>652</v>
      </c>
      <c r="M88" s="38" t="s">
        <v>652</v>
      </c>
      <c r="N88" s="25"/>
      <c r="O88" s="38" t="s">
        <v>652</v>
      </c>
      <c r="P88" s="25"/>
      <c r="Q88" s="38" t="s">
        <v>652</v>
      </c>
      <c r="R88" s="25"/>
      <c r="S88" s="25"/>
      <c r="T88" s="25"/>
      <c r="U88" s="22">
        <f>COUNTIF(F88:T88, "FP")</f>
        <v>3</v>
      </c>
      <c r="V88" s="22">
        <f>COUNTIF(F88:T88, "XX")</f>
        <v>7</v>
      </c>
      <c r="W88" s="22">
        <f>U88+V88</f>
        <v>10</v>
      </c>
      <c r="X88" s="37" t="s">
        <v>256</v>
      </c>
    </row>
    <row r="89" spans="1:24" ht="16" x14ac:dyDescent="0.2">
      <c r="A89" s="25" t="s">
        <v>466</v>
      </c>
      <c r="B89" s="26" t="s">
        <v>467</v>
      </c>
      <c r="C89" s="25" t="s">
        <v>560</v>
      </c>
      <c r="D89" s="26"/>
      <c r="E89" s="25" t="s">
        <v>299</v>
      </c>
      <c r="F89" s="39" t="s">
        <v>299</v>
      </c>
      <c r="G89" s="25"/>
      <c r="H89" s="39" t="s">
        <v>299</v>
      </c>
      <c r="I89" s="39" t="s">
        <v>299</v>
      </c>
      <c r="J89" s="39" t="s">
        <v>299</v>
      </c>
      <c r="K89" s="38" t="s">
        <v>652</v>
      </c>
      <c r="L89" s="38" t="s">
        <v>652</v>
      </c>
      <c r="M89" s="39" t="s">
        <v>299</v>
      </c>
      <c r="N89" s="25"/>
      <c r="O89" s="38" t="s">
        <v>652</v>
      </c>
      <c r="P89" s="38" t="s">
        <v>652</v>
      </c>
      <c r="Q89" s="38" t="s">
        <v>652</v>
      </c>
      <c r="R89" s="38" t="s">
        <v>652</v>
      </c>
      <c r="S89" s="38" t="s">
        <v>652</v>
      </c>
      <c r="T89" s="25"/>
      <c r="U89" s="22">
        <f>COUNTIF(F89:T89, "FP")</f>
        <v>5</v>
      </c>
      <c r="V89" s="22">
        <f>COUNTIF(F89:T89, "XX")</f>
        <v>7</v>
      </c>
      <c r="W89" s="22">
        <f>U89+V89</f>
        <v>12</v>
      </c>
      <c r="X89" s="37" t="s">
        <v>258</v>
      </c>
    </row>
    <row r="90" spans="1:24" ht="16" x14ac:dyDescent="0.2">
      <c r="A90" s="25" t="s">
        <v>468</v>
      </c>
      <c r="B90" s="26" t="s">
        <v>315</v>
      </c>
      <c r="C90" s="25" t="s">
        <v>559</v>
      </c>
      <c r="D90" s="26"/>
      <c r="E90" s="25" t="s">
        <v>299</v>
      </c>
      <c r="F90" s="25"/>
      <c r="G90" s="25"/>
      <c r="H90" s="38" t="s">
        <v>652</v>
      </c>
      <c r="I90" s="25"/>
      <c r="J90" s="38" t="s">
        <v>652</v>
      </c>
      <c r="K90" s="25"/>
      <c r="L90" s="38" t="s">
        <v>652</v>
      </c>
      <c r="M90" s="38" t="s">
        <v>652</v>
      </c>
      <c r="N90" s="25"/>
      <c r="O90" s="25"/>
      <c r="P90" s="25"/>
      <c r="Q90" s="38" t="s">
        <v>652</v>
      </c>
      <c r="R90" s="25"/>
      <c r="S90" s="25"/>
      <c r="T90" s="25"/>
      <c r="U90" s="22">
        <f>COUNTIF(F90:T90, "FP")</f>
        <v>0</v>
      </c>
      <c r="V90" s="22">
        <f>COUNTIF(F90:T90, "XX")</f>
        <v>5</v>
      </c>
      <c r="W90" s="22">
        <f>U90+V90</f>
        <v>5</v>
      </c>
      <c r="X90" s="37" t="s">
        <v>255</v>
      </c>
    </row>
    <row r="91" spans="1:24" ht="16" x14ac:dyDescent="0.2">
      <c r="A91" s="25" t="s">
        <v>469</v>
      </c>
      <c r="B91" s="26" t="s">
        <v>470</v>
      </c>
      <c r="C91" s="25" t="s">
        <v>558</v>
      </c>
      <c r="D91" s="26"/>
      <c r="E91" s="25" t="s">
        <v>299</v>
      </c>
      <c r="F91" s="39" t="s">
        <v>299</v>
      </c>
      <c r="G91" s="25"/>
      <c r="H91" s="25"/>
      <c r="I91" s="39" t="s">
        <v>299</v>
      </c>
      <c r="J91" s="25"/>
      <c r="K91" s="38" t="s">
        <v>652</v>
      </c>
      <c r="L91" s="38" t="s">
        <v>652</v>
      </c>
      <c r="M91" s="39" t="s">
        <v>299</v>
      </c>
      <c r="N91" s="25"/>
      <c r="O91" s="25"/>
      <c r="P91" s="25"/>
      <c r="Q91" s="38" t="s">
        <v>652</v>
      </c>
      <c r="R91" s="25"/>
      <c r="S91" s="25"/>
      <c r="T91" s="25"/>
      <c r="U91" s="22">
        <f>COUNTIF(F91:T91, "FP")</f>
        <v>3</v>
      </c>
      <c r="V91" s="22">
        <f>COUNTIF(F91:T91, "XX")</f>
        <v>3</v>
      </c>
      <c r="W91" s="22">
        <f>U91+V91</f>
        <v>6</v>
      </c>
      <c r="X91" s="37" t="s">
        <v>255</v>
      </c>
    </row>
    <row r="92" spans="1:24" ht="16" x14ac:dyDescent="0.2">
      <c r="A92" s="25" t="s">
        <v>471</v>
      </c>
      <c r="B92" s="26" t="s">
        <v>472</v>
      </c>
      <c r="C92" s="25" t="s">
        <v>557</v>
      </c>
      <c r="D92" s="26"/>
      <c r="E92" s="25" t="s">
        <v>299</v>
      </c>
      <c r="F92" s="39" t="s">
        <v>299</v>
      </c>
      <c r="G92" s="38" t="s">
        <v>652</v>
      </c>
      <c r="H92" s="39" t="s">
        <v>299</v>
      </c>
      <c r="I92" s="39" t="s">
        <v>299</v>
      </c>
      <c r="J92" s="38" t="s">
        <v>652</v>
      </c>
      <c r="K92" s="38" t="s">
        <v>652</v>
      </c>
      <c r="L92" s="38" t="s">
        <v>652</v>
      </c>
      <c r="M92" s="39" t="s">
        <v>299</v>
      </c>
      <c r="N92" s="38" t="s">
        <v>652</v>
      </c>
      <c r="O92" s="38" t="s">
        <v>652</v>
      </c>
      <c r="P92" s="38" t="s">
        <v>652</v>
      </c>
      <c r="Q92" s="38" t="s">
        <v>652</v>
      </c>
      <c r="R92" s="38" t="s">
        <v>652</v>
      </c>
      <c r="S92" s="25"/>
      <c r="T92" s="25"/>
      <c r="U92" s="22">
        <f>COUNTIF(F92:T92, "FP")</f>
        <v>4</v>
      </c>
      <c r="V92" s="22">
        <f>COUNTIF(F92:T92, "XX")</f>
        <v>9</v>
      </c>
      <c r="W92" s="22">
        <f>U92+V92</f>
        <v>13</v>
      </c>
      <c r="X92" s="37" t="s">
        <v>258</v>
      </c>
    </row>
    <row r="93" spans="1:24" ht="16" x14ac:dyDescent="0.2">
      <c r="A93" s="25" t="s">
        <v>473</v>
      </c>
      <c r="B93" s="26" t="s">
        <v>474</v>
      </c>
      <c r="C93" s="25" t="s">
        <v>556</v>
      </c>
      <c r="D93" s="26"/>
      <c r="E93" s="25" t="s">
        <v>299</v>
      </c>
      <c r="F93" s="39" t="s">
        <v>299</v>
      </c>
      <c r="G93" s="38" t="s">
        <v>652</v>
      </c>
      <c r="H93" s="39" t="s">
        <v>299</v>
      </c>
      <c r="I93" s="39" t="s">
        <v>299</v>
      </c>
      <c r="J93" s="38" t="s">
        <v>652</v>
      </c>
      <c r="K93" s="38" t="s">
        <v>652</v>
      </c>
      <c r="L93" s="38" t="s">
        <v>652</v>
      </c>
      <c r="M93" s="39" t="s">
        <v>299</v>
      </c>
      <c r="N93" s="25"/>
      <c r="O93" s="38" t="s">
        <v>652</v>
      </c>
      <c r="P93" s="25"/>
      <c r="Q93" s="25"/>
      <c r="R93" s="38" t="s">
        <v>652</v>
      </c>
      <c r="S93" s="25"/>
      <c r="T93" s="25"/>
      <c r="U93" s="22">
        <f>COUNTIF(F93:T93, "FP")</f>
        <v>4</v>
      </c>
      <c r="V93" s="22">
        <f>COUNTIF(F93:T93, "XX")</f>
        <v>6</v>
      </c>
      <c r="W93" s="22">
        <f>U93+V93</f>
        <v>10</v>
      </c>
      <c r="X93" s="37" t="s">
        <v>256</v>
      </c>
    </row>
    <row r="94" spans="1:24" ht="16" x14ac:dyDescent="0.2">
      <c r="A94" s="25" t="s">
        <v>475</v>
      </c>
      <c r="B94" s="26" t="s">
        <v>476</v>
      </c>
      <c r="C94" s="25" t="s">
        <v>555</v>
      </c>
      <c r="D94" s="26"/>
      <c r="E94" s="25" t="s">
        <v>299</v>
      </c>
      <c r="F94" s="38" t="s">
        <v>652</v>
      </c>
      <c r="G94" s="38" t="s">
        <v>652</v>
      </c>
      <c r="H94" s="39" t="s">
        <v>299</v>
      </c>
      <c r="I94" s="38" t="s">
        <v>652</v>
      </c>
      <c r="J94" s="38" t="s">
        <v>652</v>
      </c>
      <c r="K94" s="38" t="s">
        <v>652</v>
      </c>
      <c r="L94" s="38" t="s">
        <v>652</v>
      </c>
      <c r="M94" s="39" t="s">
        <v>299</v>
      </c>
      <c r="N94" s="25"/>
      <c r="O94" s="38" t="s">
        <v>652</v>
      </c>
      <c r="P94" s="38" t="s">
        <v>652</v>
      </c>
      <c r="Q94" s="38" t="s">
        <v>652</v>
      </c>
      <c r="R94" s="38" t="s">
        <v>652</v>
      </c>
      <c r="S94" s="38" t="s">
        <v>652</v>
      </c>
      <c r="T94" s="25"/>
      <c r="U94" s="22">
        <f>COUNTIF(F94:T94, "FP")</f>
        <v>2</v>
      </c>
      <c r="V94" s="22">
        <f>COUNTIF(F94:T94, "XX")</f>
        <v>11</v>
      </c>
      <c r="W94" s="22">
        <f>U94+V94</f>
        <v>13</v>
      </c>
      <c r="X94" s="37" t="s">
        <v>258</v>
      </c>
    </row>
    <row r="95" spans="1:24" ht="16" x14ac:dyDescent="0.2">
      <c r="A95" s="25" t="s">
        <v>477</v>
      </c>
      <c r="B95" s="26" t="s">
        <v>478</v>
      </c>
      <c r="C95" s="25" t="s">
        <v>554</v>
      </c>
      <c r="D95" s="26" t="s">
        <v>553</v>
      </c>
      <c r="E95" s="25" t="s">
        <v>299</v>
      </c>
      <c r="F95" s="38" t="s">
        <v>652</v>
      </c>
      <c r="G95" s="25"/>
      <c r="H95" s="25"/>
      <c r="I95" s="38" t="s">
        <v>652</v>
      </c>
      <c r="J95" s="38" t="s">
        <v>652</v>
      </c>
      <c r="K95" s="38" t="s">
        <v>652</v>
      </c>
      <c r="L95" s="25"/>
      <c r="M95" s="38" t="s">
        <v>652</v>
      </c>
      <c r="N95" s="25"/>
      <c r="O95" s="25"/>
      <c r="P95" s="25"/>
      <c r="Q95" s="38" t="s">
        <v>652</v>
      </c>
      <c r="R95" s="25"/>
      <c r="S95" s="25"/>
      <c r="T95" s="25"/>
      <c r="U95" s="22">
        <f>COUNTIF(F95:T95, "FP")</f>
        <v>0</v>
      </c>
      <c r="V95" s="22">
        <f>COUNTIF(F95:T95, "XX")</f>
        <v>6</v>
      </c>
      <c r="W95" s="22">
        <f>U95+V95</f>
        <v>6</v>
      </c>
      <c r="X95" s="37" t="s">
        <v>255</v>
      </c>
    </row>
    <row r="96" spans="1:24" s="40" customFormat="1" ht="16" x14ac:dyDescent="0.2">
      <c r="A96" s="42" t="s">
        <v>479</v>
      </c>
      <c r="B96" s="43" t="s">
        <v>480</v>
      </c>
      <c r="C96" s="42" t="s">
        <v>552</v>
      </c>
      <c r="D96" s="43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0">
        <f>COUNTIF(F96:T96, "FP")</f>
        <v>0</v>
      </c>
      <c r="V96" s="40">
        <f>COUNTIF(F96:T96, "XX")</f>
        <v>0</v>
      </c>
      <c r="W96" s="40">
        <f>U96+V96</f>
        <v>0</v>
      </c>
      <c r="X96" s="41" t="s">
        <v>255</v>
      </c>
    </row>
    <row r="97" spans="1:24" ht="16" x14ac:dyDescent="0.2">
      <c r="A97" s="25" t="s">
        <v>481</v>
      </c>
      <c r="B97" s="26" t="s">
        <v>482</v>
      </c>
      <c r="C97" s="25" t="s">
        <v>551</v>
      </c>
      <c r="D97" s="26"/>
      <c r="E97" s="25" t="s">
        <v>299</v>
      </c>
      <c r="F97" s="38" t="s">
        <v>652</v>
      </c>
      <c r="G97" s="38" t="s">
        <v>652</v>
      </c>
      <c r="H97" s="38" t="s">
        <v>652</v>
      </c>
      <c r="I97" s="38" t="s">
        <v>652</v>
      </c>
      <c r="J97" s="38" t="s">
        <v>652</v>
      </c>
      <c r="K97" s="25"/>
      <c r="L97" s="25"/>
      <c r="M97" s="38" t="s">
        <v>652</v>
      </c>
      <c r="N97" s="25"/>
      <c r="O97" s="38" t="s">
        <v>652</v>
      </c>
      <c r="P97" s="38" t="s">
        <v>652</v>
      </c>
      <c r="Q97" s="38" t="s">
        <v>652</v>
      </c>
      <c r="R97" s="38" t="s">
        <v>652</v>
      </c>
      <c r="S97" s="38" t="s">
        <v>652</v>
      </c>
      <c r="T97" s="25"/>
      <c r="U97" s="22">
        <f>COUNTIF(F97:T97, "FP")</f>
        <v>0</v>
      </c>
      <c r="V97" s="22">
        <f>COUNTIF(F97:T97, "XX")</f>
        <v>11</v>
      </c>
      <c r="W97" s="22">
        <f>U97+V97</f>
        <v>11</v>
      </c>
      <c r="X97" s="37" t="s">
        <v>258</v>
      </c>
    </row>
    <row r="98" spans="1:24" ht="16" x14ac:dyDescent="0.2">
      <c r="A98" s="25" t="s">
        <v>483</v>
      </c>
      <c r="B98" s="26" t="s">
        <v>484</v>
      </c>
      <c r="C98" s="25" t="s">
        <v>550</v>
      </c>
      <c r="D98" s="26"/>
      <c r="E98" s="25" t="s">
        <v>299</v>
      </c>
      <c r="F98" s="39" t="s">
        <v>299</v>
      </c>
      <c r="G98" s="38" t="s">
        <v>652</v>
      </c>
      <c r="H98" s="39" t="s">
        <v>299</v>
      </c>
      <c r="I98" s="39" t="s">
        <v>299</v>
      </c>
      <c r="J98" s="38" t="s">
        <v>652</v>
      </c>
      <c r="K98" s="38" t="s">
        <v>652</v>
      </c>
      <c r="L98" s="38" t="s">
        <v>652</v>
      </c>
      <c r="M98" s="39" t="s">
        <v>299</v>
      </c>
      <c r="N98" s="25"/>
      <c r="O98" s="39" t="s">
        <v>299</v>
      </c>
      <c r="P98" s="25"/>
      <c r="Q98" s="38" t="s">
        <v>652</v>
      </c>
      <c r="R98" s="25"/>
      <c r="S98" s="25"/>
      <c r="T98" s="25"/>
      <c r="U98" s="22">
        <f>COUNTIF(F98:T98, "FP")</f>
        <v>5</v>
      </c>
      <c r="V98" s="22">
        <f>COUNTIF(F98:T98, "XX")</f>
        <v>5</v>
      </c>
      <c r="W98" s="22">
        <f>U98+V98</f>
        <v>10</v>
      </c>
      <c r="X98" s="37" t="s">
        <v>256</v>
      </c>
    </row>
    <row r="99" spans="1:24" ht="16" x14ac:dyDescent="0.2">
      <c r="A99" s="25" t="s">
        <v>485</v>
      </c>
      <c r="B99" s="26" t="s">
        <v>96</v>
      </c>
      <c r="C99" s="25" t="s">
        <v>549</v>
      </c>
      <c r="D99" s="26"/>
      <c r="E99" s="25" t="s">
        <v>299</v>
      </c>
      <c r="F99" s="38" t="s">
        <v>652</v>
      </c>
      <c r="G99" s="38" t="s">
        <v>652</v>
      </c>
      <c r="H99" s="38" t="s">
        <v>652</v>
      </c>
      <c r="I99" s="38" t="s">
        <v>652</v>
      </c>
      <c r="J99" s="38" t="s">
        <v>652</v>
      </c>
      <c r="K99" s="38" t="s">
        <v>652</v>
      </c>
      <c r="L99" s="38" t="s">
        <v>652</v>
      </c>
      <c r="M99" s="39" t="s">
        <v>299</v>
      </c>
      <c r="N99" s="38" t="s">
        <v>652</v>
      </c>
      <c r="O99" s="38" t="s">
        <v>652</v>
      </c>
      <c r="P99" s="38" t="s">
        <v>652</v>
      </c>
      <c r="Q99" s="38" t="s">
        <v>652</v>
      </c>
      <c r="R99" s="38" t="s">
        <v>652</v>
      </c>
      <c r="S99" s="38" t="s">
        <v>652</v>
      </c>
      <c r="T99" s="25"/>
      <c r="U99" s="22">
        <f>COUNTIF(F99:T99, "FP")</f>
        <v>1</v>
      </c>
      <c r="V99" s="22">
        <f>COUNTIF(F99:T99, "XX")</f>
        <v>13</v>
      </c>
      <c r="W99" s="22">
        <f>U99+V99</f>
        <v>14</v>
      </c>
      <c r="X99" s="37" t="s">
        <v>258</v>
      </c>
    </row>
    <row r="100" spans="1:24" ht="16" x14ac:dyDescent="0.2">
      <c r="A100" s="25" t="s">
        <v>486</v>
      </c>
      <c r="B100" s="26" t="s">
        <v>487</v>
      </c>
      <c r="C100" s="25" t="s">
        <v>548</v>
      </c>
      <c r="D100" s="26" t="s">
        <v>547</v>
      </c>
      <c r="E100" s="25" t="s">
        <v>299</v>
      </c>
      <c r="F100" s="38" t="s">
        <v>652</v>
      </c>
      <c r="G100" s="38" t="s">
        <v>652</v>
      </c>
      <c r="H100" s="38" t="s">
        <v>652</v>
      </c>
      <c r="I100" s="38" t="s">
        <v>652</v>
      </c>
      <c r="J100" s="38" t="s">
        <v>652</v>
      </c>
      <c r="K100" s="38" t="s">
        <v>652</v>
      </c>
      <c r="L100" s="38" t="s">
        <v>652</v>
      </c>
      <c r="M100" s="38" t="s">
        <v>652</v>
      </c>
      <c r="N100" s="25"/>
      <c r="O100" s="38" t="s">
        <v>652</v>
      </c>
      <c r="P100" s="25"/>
      <c r="Q100" s="38" t="s">
        <v>652</v>
      </c>
      <c r="R100" s="25"/>
      <c r="S100" s="25"/>
      <c r="T100" s="25"/>
      <c r="U100" s="22">
        <f>COUNTIF(F100:T100, "FP")</f>
        <v>0</v>
      </c>
      <c r="V100" s="22">
        <f>COUNTIF(F100:T100, "XX")</f>
        <v>10</v>
      </c>
      <c r="W100" s="22">
        <f>U100+V100</f>
        <v>10</v>
      </c>
      <c r="X100" s="37" t="s">
        <v>256</v>
      </c>
    </row>
    <row r="101" spans="1:24" ht="16" x14ac:dyDescent="0.2">
      <c r="A101" s="25" t="s">
        <v>488</v>
      </c>
      <c r="B101" s="26" t="s">
        <v>489</v>
      </c>
      <c r="C101" s="25" t="s">
        <v>546</v>
      </c>
      <c r="D101" s="26"/>
      <c r="E101" s="25" t="s">
        <v>299</v>
      </c>
      <c r="F101" s="38" t="s">
        <v>652</v>
      </c>
      <c r="G101" s="38" t="s">
        <v>652</v>
      </c>
      <c r="H101" s="38" t="s">
        <v>652</v>
      </c>
      <c r="I101" s="38" t="s">
        <v>652</v>
      </c>
      <c r="J101" s="38" t="s">
        <v>652</v>
      </c>
      <c r="K101" s="38" t="s">
        <v>652</v>
      </c>
      <c r="L101" s="38" t="s">
        <v>652</v>
      </c>
      <c r="M101" s="38" t="s">
        <v>652</v>
      </c>
      <c r="N101" s="38" t="s">
        <v>652</v>
      </c>
      <c r="O101" s="38" t="s">
        <v>652</v>
      </c>
      <c r="P101" s="38" t="s">
        <v>652</v>
      </c>
      <c r="Q101" s="38" t="s">
        <v>652</v>
      </c>
      <c r="R101" s="38" t="s">
        <v>652</v>
      </c>
      <c r="S101" s="25"/>
      <c r="T101" s="25"/>
      <c r="U101" s="22">
        <f>COUNTIF(F101:T101, "FP")</f>
        <v>0</v>
      </c>
      <c r="V101" s="22">
        <f>COUNTIF(F101:T101, "XX")</f>
        <v>13</v>
      </c>
      <c r="W101" s="22">
        <f>U101+V101</f>
        <v>13</v>
      </c>
      <c r="X101" s="37" t="s">
        <v>254</v>
      </c>
    </row>
    <row r="102" spans="1:24" x14ac:dyDescent="0.2">
      <c r="D102" s="22" t="s">
        <v>299</v>
      </c>
      <c r="E102" s="22">
        <f>COUNTIF(E2:E101, "FP")</f>
        <v>97</v>
      </c>
      <c r="F102" s="22">
        <f>COUNTIF(F2:F101, "FP")</f>
        <v>58</v>
      </c>
      <c r="G102" s="22">
        <f>COUNTIF(G2:G101, "FP")</f>
        <v>13</v>
      </c>
      <c r="H102" s="22">
        <f>COUNTIF(H2:H101, "FP")</f>
        <v>32</v>
      </c>
      <c r="I102" s="22">
        <f>COUNTIF(I2:I101, "FP")</f>
        <v>44</v>
      </c>
      <c r="J102" s="22">
        <f>COUNTIF(J2:J101, "FP")</f>
        <v>26</v>
      </c>
      <c r="K102" s="22">
        <f>COUNTIF(K2:K101, "FP")</f>
        <v>6</v>
      </c>
      <c r="L102" s="22">
        <f>COUNTIF(L2:L101, "FP")</f>
        <v>1</v>
      </c>
      <c r="M102" s="22">
        <f>COUNTIF(M2:M101, "FP")</f>
        <v>62</v>
      </c>
      <c r="N102" s="22">
        <f>COUNTIF(N2:N101, "FP")</f>
        <v>1</v>
      </c>
      <c r="O102" s="22">
        <f>COUNTIF(O2:O101, "FP")</f>
        <v>9</v>
      </c>
      <c r="P102" s="22">
        <f>COUNTIF(P2:P101, "FP")</f>
        <v>1</v>
      </c>
      <c r="Q102" s="22">
        <f>COUNTIF(Q2:Q101, "FP")</f>
        <v>0</v>
      </c>
      <c r="R102" s="22">
        <f>COUNTIF(R2:R101, "FP")</f>
        <v>1</v>
      </c>
      <c r="S102" s="22">
        <f>COUNTIF(S2:S101, "FP")</f>
        <v>0</v>
      </c>
      <c r="T102" s="22">
        <f>COUNTIF(T2:T101, "FP")</f>
        <v>0</v>
      </c>
      <c r="U102" s="22">
        <f>SUM(U2:U101)/100</f>
        <v>2.54</v>
      </c>
      <c r="V102" s="22">
        <f>SUM(V2:V101)/100</f>
        <v>5.52</v>
      </c>
      <c r="W102" s="22">
        <f>SUM(W2:W101)/100</f>
        <v>8.06</v>
      </c>
      <c r="X102" s="35"/>
    </row>
    <row r="103" spans="1:24" x14ac:dyDescent="0.2">
      <c r="D103" s="22" t="s">
        <v>652</v>
      </c>
      <c r="E103" s="22">
        <f>COUNTIF(E2:E101, "XX")</f>
        <v>0</v>
      </c>
      <c r="F103" s="22">
        <f>COUNTIF(F2:F101, "XX")</f>
        <v>32</v>
      </c>
      <c r="G103" s="22">
        <f>COUNTIF(G2:G101, "XX")</f>
        <v>46</v>
      </c>
      <c r="H103" s="22">
        <f>COUNTIF(H2:H101, "XX")</f>
        <v>28</v>
      </c>
      <c r="I103" s="22">
        <f>COUNTIF(I2:I101, "XX")</f>
        <v>32</v>
      </c>
      <c r="J103" s="22">
        <f>COUNTIF(J2:J101, "XX")</f>
        <v>67</v>
      </c>
      <c r="K103" s="22">
        <f>COUNTIF(K2:K101, "XX")</f>
        <v>66</v>
      </c>
      <c r="L103" s="22">
        <f>COUNTIF(L2:L101, "XX")</f>
        <v>85</v>
      </c>
      <c r="M103" s="22">
        <f>COUNTIF(M2:M101, "XX")</f>
        <v>24</v>
      </c>
      <c r="N103" s="22">
        <f>COUNTIF(N2:N101, "XX")</f>
        <v>8</v>
      </c>
      <c r="O103" s="22">
        <f>COUNTIF(O2:O101, "XX")</f>
        <v>29</v>
      </c>
      <c r="P103" s="22">
        <f>COUNTIF(P2:P101, "XX")</f>
        <v>23</v>
      </c>
      <c r="Q103" s="22">
        <f>COUNTIF(Q2:Q101, "XX")</f>
        <v>70</v>
      </c>
      <c r="R103" s="22">
        <f>COUNTIF(R2:R101, "XX")</f>
        <v>27</v>
      </c>
      <c r="S103" s="22">
        <f>COUNTIF(S2:S101, "XX")</f>
        <v>14</v>
      </c>
      <c r="T103" s="22">
        <f>COUNTIF(T2:T101, "XX")</f>
        <v>1</v>
      </c>
      <c r="X103" s="35"/>
    </row>
    <row r="104" spans="1:24" x14ac:dyDescent="0.2">
      <c r="D104" s="36" t="s">
        <v>523</v>
      </c>
      <c r="F104" s="22">
        <f>SUM(F102+F103)</f>
        <v>90</v>
      </c>
      <c r="G104" s="22">
        <f>SUM(G102+G103)</f>
        <v>59</v>
      </c>
      <c r="H104" s="22">
        <f>SUM(H102+H103)</f>
        <v>60</v>
      </c>
      <c r="I104" s="22">
        <f>SUM(I102+I103)</f>
        <v>76</v>
      </c>
      <c r="J104" s="22">
        <f>SUM(J102+J103)</f>
        <v>93</v>
      </c>
      <c r="K104" s="22">
        <f>SUM(K102+K103)</f>
        <v>72</v>
      </c>
      <c r="L104" s="22">
        <f>SUM(L102+L103)</f>
        <v>86</v>
      </c>
      <c r="M104" s="22">
        <f>SUM(M102+M103)</f>
        <v>86</v>
      </c>
      <c r="N104" s="22">
        <f>SUM(N102+N103)</f>
        <v>9</v>
      </c>
      <c r="O104" s="22">
        <f>SUM(O102+O103)</f>
        <v>38</v>
      </c>
      <c r="P104" s="22">
        <f>SUM(P102+P103)</f>
        <v>24</v>
      </c>
      <c r="Q104" s="22">
        <f>SUM(Q102+Q103)</f>
        <v>70</v>
      </c>
      <c r="R104" s="22">
        <f>SUM(R102+R103)</f>
        <v>28</v>
      </c>
      <c r="S104" s="22">
        <f>SUM(S102+S103)</f>
        <v>14</v>
      </c>
      <c r="T104" s="22">
        <f>SUM(T102+T103)</f>
        <v>1</v>
      </c>
      <c r="U104" s="22">
        <f>COUNTIF(U2:U101, "0")</f>
        <v>27</v>
      </c>
      <c r="V104" s="22">
        <f>COUNTIF(V2:V101, "0")</f>
        <v>6</v>
      </c>
      <c r="W104" s="22">
        <f>COUNTIF(W2:W101, "0")</f>
        <v>3</v>
      </c>
      <c r="X104" s="35"/>
    </row>
    <row r="105" spans="1:24" x14ac:dyDescent="0.2">
      <c r="X105" s="35"/>
    </row>
    <row r="106" spans="1:24" x14ac:dyDescent="0.2">
      <c r="X106" s="35"/>
    </row>
    <row r="107" spans="1:24" x14ac:dyDescent="0.2">
      <c r="X107" s="35"/>
    </row>
    <row r="108" spans="1:24" x14ac:dyDescent="0.2">
      <c r="X108" s="35"/>
    </row>
    <row r="109" spans="1:24" x14ac:dyDescent="0.2">
      <c r="X109" s="35"/>
    </row>
    <row r="110" spans="1:24" x14ac:dyDescent="0.2">
      <c r="X110" s="35"/>
    </row>
    <row r="111" spans="1:24" x14ac:dyDescent="0.2">
      <c r="X111" s="35"/>
    </row>
    <row r="112" spans="1:24" x14ac:dyDescent="0.2">
      <c r="X112" s="35"/>
    </row>
    <row r="113" spans="24:24" x14ac:dyDescent="0.2">
      <c r="X113" s="35"/>
    </row>
    <row r="114" spans="24:24" x14ac:dyDescent="0.2">
      <c r="X114" s="35"/>
    </row>
    <row r="115" spans="24:24" x14ac:dyDescent="0.2">
      <c r="X115" s="35"/>
    </row>
    <row r="116" spans="24:24" x14ac:dyDescent="0.2">
      <c r="X116" s="35"/>
    </row>
    <row r="117" spans="24:24" x14ac:dyDescent="0.2">
      <c r="X117" s="35"/>
    </row>
    <row r="118" spans="24:24" x14ac:dyDescent="0.2">
      <c r="X118" s="35"/>
    </row>
    <row r="119" spans="24:24" x14ac:dyDescent="0.2">
      <c r="X119" s="35"/>
    </row>
    <row r="120" spans="24:24" x14ac:dyDescent="0.2">
      <c r="X120" s="35"/>
    </row>
    <row r="121" spans="24:24" x14ac:dyDescent="0.2">
      <c r="X121" s="35"/>
    </row>
    <row r="122" spans="24:24" x14ac:dyDescent="0.2">
      <c r="X122" s="35"/>
    </row>
    <row r="123" spans="24:24" x14ac:dyDescent="0.2">
      <c r="X123" s="35"/>
    </row>
    <row r="124" spans="24:24" x14ac:dyDescent="0.2">
      <c r="X124" s="35"/>
    </row>
    <row r="125" spans="24:24" x14ac:dyDescent="0.2">
      <c r="X125" s="35"/>
    </row>
    <row r="126" spans="24:24" x14ac:dyDescent="0.2">
      <c r="X126" s="35"/>
    </row>
    <row r="127" spans="24:24" x14ac:dyDescent="0.2">
      <c r="X127" s="35"/>
    </row>
    <row r="128" spans="24:24" x14ac:dyDescent="0.2">
      <c r="X128" s="35"/>
    </row>
    <row r="129" spans="24:24" x14ac:dyDescent="0.2">
      <c r="X129" s="35"/>
    </row>
    <row r="130" spans="24:24" x14ac:dyDescent="0.2">
      <c r="X130" s="35"/>
    </row>
    <row r="131" spans="24:24" x14ac:dyDescent="0.2">
      <c r="X131" s="35"/>
    </row>
    <row r="132" spans="24:24" x14ac:dyDescent="0.2">
      <c r="X132" s="35"/>
    </row>
    <row r="133" spans="24:24" x14ac:dyDescent="0.2">
      <c r="X133" s="35"/>
    </row>
    <row r="134" spans="24:24" x14ac:dyDescent="0.2">
      <c r="X134" s="35"/>
    </row>
    <row r="135" spans="24:24" x14ac:dyDescent="0.2">
      <c r="X135" s="35"/>
    </row>
    <row r="136" spans="24:24" x14ac:dyDescent="0.2">
      <c r="X136" s="35"/>
    </row>
    <row r="137" spans="24:24" x14ac:dyDescent="0.2">
      <c r="X137" s="35"/>
    </row>
    <row r="138" spans="24:24" x14ac:dyDescent="0.2">
      <c r="X138" s="35"/>
    </row>
    <row r="139" spans="24:24" x14ac:dyDescent="0.2">
      <c r="X139" s="35"/>
    </row>
    <row r="140" spans="24:24" x14ac:dyDescent="0.2">
      <c r="X140" s="35"/>
    </row>
    <row r="141" spans="24:24" x14ac:dyDescent="0.2">
      <c r="X141" s="35"/>
    </row>
    <row r="142" spans="24:24" x14ac:dyDescent="0.2">
      <c r="X142" s="35"/>
    </row>
    <row r="143" spans="24:24" x14ac:dyDescent="0.2">
      <c r="X143" s="35"/>
    </row>
    <row r="144" spans="24:24" x14ac:dyDescent="0.2">
      <c r="X144" s="35"/>
    </row>
    <row r="145" spans="24:24" x14ac:dyDescent="0.2">
      <c r="X145" s="35"/>
    </row>
    <row r="146" spans="24:24" x14ac:dyDescent="0.2">
      <c r="X146" s="35"/>
    </row>
    <row r="147" spans="24:24" x14ac:dyDescent="0.2">
      <c r="X147" s="35"/>
    </row>
    <row r="148" spans="24:24" x14ac:dyDescent="0.2">
      <c r="X148" s="35"/>
    </row>
    <row r="149" spans="24:24" x14ac:dyDescent="0.2">
      <c r="X149" s="35"/>
    </row>
    <row r="150" spans="24:24" x14ac:dyDescent="0.2">
      <c r="X150" s="35"/>
    </row>
    <row r="151" spans="24:24" x14ac:dyDescent="0.2">
      <c r="X151" s="35"/>
    </row>
    <row r="152" spans="24:24" x14ac:dyDescent="0.2">
      <c r="X152" s="35"/>
    </row>
    <row r="153" spans="24:24" x14ac:dyDescent="0.2">
      <c r="X153" s="35"/>
    </row>
    <row r="154" spans="24:24" x14ac:dyDescent="0.2">
      <c r="X154" s="35"/>
    </row>
    <row r="155" spans="24:24" x14ac:dyDescent="0.2">
      <c r="X155" s="35"/>
    </row>
    <row r="156" spans="24:24" x14ac:dyDescent="0.2">
      <c r="X156" s="35"/>
    </row>
    <row r="157" spans="24:24" x14ac:dyDescent="0.2">
      <c r="X157" s="35"/>
    </row>
    <row r="158" spans="24:24" x14ac:dyDescent="0.2">
      <c r="X158" s="35"/>
    </row>
    <row r="159" spans="24:24" x14ac:dyDescent="0.2">
      <c r="X159" s="35"/>
    </row>
    <row r="160" spans="24:24" x14ac:dyDescent="0.2">
      <c r="X160" s="35"/>
    </row>
    <row r="161" spans="24:24" x14ac:dyDescent="0.2">
      <c r="X161" s="35"/>
    </row>
    <row r="162" spans="24:24" x14ac:dyDescent="0.2">
      <c r="X162" s="35"/>
    </row>
    <row r="163" spans="24:24" x14ac:dyDescent="0.2">
      <c r="X163" s="35"/>
    </row>
    <row r="164" spans="24:24" x14ac:dyDescent="0.2">
      <c r="X164" s="35"/>
    </row>
    <row r="165" spans="24:24" x14ac:dyDescent="0.2">
      <c r="X165" s="35"/>
    </row>
    <row r="166" spans="24:24" x14ac:dyDescent="0.2">
      <c r="X166" s="35"/>
    </row>
    <row r="167" spans="24:24" x14ac:dyDescent="0.2">
      <c r="X167" s="35"/>
    </row>
    <row r="168" spans="24:24" x14ac:dyDescent="0.2">
      <c r="X168" s="35"/>
    </row>
    <row r="169" spans="24:24" x14ac:dyDescent="0.2">
      <c r="X169" s="35"/>
    </row>
    <row r="170" spans="24:24" x14ac:dyDescent="0.2">
      <c r="X170" s="35"/>
    </row>
    <row r="171" spans="24:24" x14ac:dyDescent="0.2">
      <c r="X171" s="35"/>
    </row>
    <row r="172" spans="24:24" x14ac:dyDescent="0.2">
      <c r="X172" s="35"/>
    </row>
    <row r="173" spans="24:24" x14ac:dyDescent="0.2">
      <c r="X173" s="35"/>
    </row>
    <row r="174" spans="24:24" x14ac:dyDescent="0.2">
      <c r="X174" s="35"/>
    </row>
    <row r="175" spans="24:24" x14ac:dyDescent="0.2">
      <c r="X175" s="35"/>
    </row>
    <row r="176" spans="24:24" x14ac:dyDescent="0.2">
      <c r="X176" s="35"/>
    </row>
    <row r="177" spans="24:24" x14ac:dyDescent="0.2">
      <c r="X177" s="35"/>
    </row>
    <row r="178" spans="24:24" x14ac:dyDescent="0.2">
      <c r="X178" s="35"/>
    </row>
    <row r="179" spans="24:24" x14ac:dyDescent="0.2">
      <c r="X179" s="35"/>
    </row>
    <row r="180" spans="24:24" x14ac:dyDescent="0.2">
      <c r="X180" s="35"/>
    </row>
    <row r="181" spans="24:24" x14ac:dyDescent="0.2">
      <c r="X181" s="35"/>
    </row>
    <row r="182" spans="24:24" x14ac:dyDescent="0.2">
      <c r="X182" s="35"/>
    </row>
    <row r="183" spans="24:24" x14ac:dyDescent="0.2">
      <c r="X183" s="35"/>
    </row>
    <row r="184" spans="24:24" x14ac:dyDescent="0.2">
      <c r="X184" s="35"/>
    </row>
    <row r="185" spans="24:24" x14ac:dyDescent="0.2">
      <c r="X185" s="35"/>
    </row>
    <row r="186" spans="24:24" x14ac:dyDescent="0.2">
      <c r="X186" s="35"/>
    </row>
    <row r="187" spans="24:24" x14ac:dyDescent="0.2">
      <c r="X187" s="35"/>
    </row>
    <row r="188" spans="24:24" x14ac:dyDescent="0.2">
      <c r="X188" s="35"/>
    </row>
    <row r="189" spans="24:24" x14ac:dyDescent="0.2">
      <c r="X189" s="35"/>
    </row>
    <row r="190" spans="24:24" x14ac:dyDescent="0.2">
      <c r="X190" s="35"/>
    </row>
    <row r="191" spans="24:24" x14ac:dyDescent="0.2">
      <c r="X191" s="35"/>
    </row>
    <row r="192" spans="24:24" x14ac:dyDescent="0.2">
      <c r="X192" s="35"/>
    </row>
    <row r="193" spans="24:24" x14ac:dyDescent="0.2">
      <c r="X193" s="35"/>
    </row>
    <row r="194" spans="24:24" x14ac:dyDescent="0.2">
      <c r="X194" s="35"/>
    </row>
    <row r="195" spans="24:24" x14ac:dyDescent="0.2">
      <c r="X195" s="35"/>
    </row>
    <row r="196" spans="24:24" x14ac:dyDescent="0.2">
      <c r="X196" s="35"/>
    </row>
    <row r="197" spans="24:24" x14ac:dyDescent="0.2">
      <c r="X197" s="35"/>
    </row>
    <row r="198" spans="24:24" x14ac:dyDescent="0.2">
      <c r="X198" s="35"/>
    </row>
    <row r="199" spans="24:24" x14ac:dyDescent="0.2">
      <c r="X199" s="35"/>
    </row>
    <row r="200" spans="24:24" x14ac:dyDescent="0.2">
      <c r="X200" s="35"/>
    </row>
    <row r="201" spans="24:24" x14ac:dyDescent="0.2">
      <c r="X201" s="35"/>
    </row>
    <row r="202" spans="24:24" x14ac:dyDescent="0.2">
      <c r="X202" s="35"/>
    </row>
    <row r="203" spans="24:24" x14ac:dyDescent="0.2">
      <c r="X203" s="35"/>
    </row>
    <row r="204" spans="24:24" x14ac:dyDescent="0.2">
      <c r="X204" s="35"/>
    </row>
    <row r="205" spans="24:24" x14ac:dyDescent="0.2">
      <c r="X205" s="35"/>
    </row>
    <row r="206" spans="24:24" x14ac:dyDescent="0.2">
      <c r="X206" s="35"/>
    </row>
    <row r="207" spans="24:24" x14ac:dyDescent="0.2">
      <c r="X207" s="35"/>
    </row>
    <row r="208" spans="24:24" x14ac:dyDescent="0.2">
      <c r="X208" s="35"/>
    </row>
    <row r="209" spans="24:24" x14ac:dyDescent="0.2">
      <c r="X209" s="35"/>
    </row>
    <row r="210" spans="24:24" x14ac:dyDescent="0.2">
      <c r="X210" s="35"/>
    </row>
    <row r="211" spans="24:24" x14ac:dyDescent="0.2">
      <c r="X211" s="35"/>
    </row>
    <row r="212" spans="24:24" x14ac:dyDescent="0.2">
      <c r="X212" s="35"/>
    </row>
    <row r="213" spans="24:24" x14ac:dyDescent="0.2">
      <c r="X213" s="35"/>
    </row>
    <row r="214" spans="24:24" x14ac:dyDescent="0.2">
      <c r="X214" s="35"/>
    </row>
    <row r="215" spans="24:24" x14ac:dyDescent="0.2">
      <c r="X215" s="35"/>
    </row>
    <row r="216" spans="24:24" x14ac:dyDescent="0.2">
      <c r="X216" s="35"/>
    </row>
    <row r="217" spans="24:24" x14ac:dyDescent="0.2">
      <c r="X217" s="35"/>
    </row>
    <row r="218" spans="24:24" x14ac:dyDescent="0.2">
      <c r="X218" s="35"/>
    </row>
    <row r="219" spans="24:24" x14ac:dyDescent="0.2">
      <c r="X219" s="35"/>
    </row>
    <row r="220" spans="24:24" x14ac:dyDescent="0.2">
      <c r="X220" s="35"/>
    </row>
    <row r="221" spans="24:24" x14ac:dyDescent="0.2">
      <c r="X221" s="35"/>
    </row>
    <row r="222" spans="24:24" x14ac:dyDescent="0.2">
      <c r="X222" s="35"/>
    </row>
    <row r="223" spans="24:24" x14ac:dyDescent="0.2">
      <c r="X223" s="35"/>
    </row>
    <row r="224" spans="24:24" x14ac:dyDescent="0.2">
      <c r="X224" s="35"/>
    </row>
    <row r="225" spans="24:24" x14ac:dyDescent="0.2">
      <c r="X225" s="35"/>
    </row>
    <row r="226" spans="24:24" x14ac:dyDescent="0.2">
      <c r="X226" s="35"/>
    </row>
    <row r="227" spans="24:24" x14ac:dyDescent="0.2">
      <c r="X227" s="35"/>
    </row>
    <row r="228" spans="24:24" x14ac:dyDescent="0.2">
      <c r="X228" s="35"/>
    </row>
    <row r="229" spans="24:24" x14ac:dyDescent="0.2">
      <c r="X229" s="35"/>
    </row>
    <row r="230" spans="24:24" x14ac:dyDescent="0.2">
      <c r="X230" s="35"/>
    </row>
    <row r="231" spans="24:24" x14ac:dyDescent="0.2">
      <c r="X231" s="35"/>
    </row>
    <row r="232" spans="24:24" x14ac:dyDescent="0.2">
      <c r="X232" s="35"/>
    </row>
    <row r="233" spans="24:24" x14ac:dyDescent="0.2">
      <c r="X233" s="35"/>
    </row>
    <row r="234" spans="24:24" x14ac:dyDescent="0.2">
      <c r="X234" s="35"/>
    </row>
    <row r="235" spans="24:24" x14ac:dyDescent="0.2">
      <c r="X235" s="35"/>
    </row>
    <row r="236" spans="24:24" x14ac:dyDescent="0.2">
      <c r="X236" s="35"/>
    </row>
    <row r="237" spans="24:24" x14ac:dyDescent="0.2">
      <c r="X237" s="35"/>
    </row>
    <row r="238" spans="24:24" x14ac:dyDescent="0.2">
      <c r="X238" s="35"/>
    </row>
    <row r="239" spans="24:24" x14ac:dyDescent="0.2">
      <c r="X239" s="35"/>
    </row>
    <row r="240" spans="24:24" x14ac:dyDescent="0.2">
      <c r="X240" s="35"/>
    </row>
    <row r="241" spans="24:24" x14ac:dyDescent="0.2">
      <c r="X241" s="35"/>
    </row>
    <row r="242" spans="24:24" x14ac:dyDescent="0.2">
      <c r="X242" s="35"/>
    </row>
    <row r="243" spans="24:24" x14ac:dyDescent="0.2">
      <c r="X243" s="35"/>
    </row>
    <row r="244" spans="24:24" x14ac:dyDescent="0.2">
      <c r="X244" s="35"/>
    </row>
    <row r="245" spans="24:24" x14ac:dyDescent="0.2">
      <c r="X245" s="35"/>
    </row>
    <row r="246" spans="24:24" x14ac:dyDescent="0.2">
      <c r="X246" s="35"/>
    </row>
    <row r="247" spans="24:24" x14ac:dyDescent="0.2">
      <c r="X247" s="35"/>
    </row>
    <row r="248" spans="24:24" x14ac:dyDescent="0.2">
      <c r="X248" s="35"/>
    </row>
    <row r="249" spans="24:24" x14ac:dyDescent="0.2">
      <c r="X249" s="35"/>
    </row>
    <row r="250" spans="24:24" x14ac:dyDescent="0.2">
      <c r="X250" s="35"/>
    </row>
    <row r="251" spans="24:24" x14ac:dyDescent="0.2">
      <c r="X251" s="35"/>
    </row>
    <row r="252" spans="24:24" x14ac:dyDescent="0.2">
      <c r="X252" s="35"/>
    </row>
    <row r="253" spans="24:24" x14ac:dyDescent="0.2">
      <c r="X253" s="35"/>
    </row>
    <row r="254" spans="24:24" x14ac:dyDescent="0.2">
      <c r="X254" s="35"/>
    </row>
    <row r="255" spans="24:24" x14ac:dyDescent="0.2">
      <c r="X255" s="35"/>
    </row>
    <row r="256" spans="24:24" x14ac:dyDescent="0.2">
      <c r="X256" s="35"/>
    </row>
    <row r="257" spans="24:24" x14ac:dyDescent="0.2">
      <c r="X257" s="35"/>
    </row>
    <row r="258" spans="24:24" x14ac:dyDescent="0.2">
      <c r="X258" s="35"/>
    </row>
    <row r="259" spans="24:24" x14ac:dyDescent="0.2">
      <c r="X259" s="35"/>
    </row>
    <row r="260" spans="24:24" x14ac:dyDescent="0.2">
      <c r="X260" s="35"/>
    </row>
    <row r="261" spans="24:24" x14ac:dyDescent="0.2">
      <c r="X261" s="35"/>
    </row>
    <row r="262" spans="24:24" x14ac:dyDescent="0.2">
      <c r="X262" s="35"/>
    </row>
    <row r="263" spans="24:24" x14ac:dyDescent="0.2">
      <c r="X263" s="35"/>
    </row>
    <row r="264" spans="24:24" x14ac:dyDescent="0.2">
      <c r="X264" s="35"/>
    </row>
    <row r="265" spans="24:24" x14ac:dyDescent="0.2">
      <c r="X265" s="35"/>
    </row>
    <row r="266" spans="24:24" x14ac:dyDescent="0.2">
      <c r="X266" s="35"/>
    </row>
    <row r="267" spans="24:24" x14ac:dyDescent="0.2">
      <c r="X267" s="35"/>
    </row>
    <row r="268" spans="24:24" x14ac:dyDescent="0.2">
      <c r="X268" s="35"/>
    </row>
    <row r="269" spans="24:24" x14ac:dyDescent="0.2">
      <c r="X269" s="35"/>
    </row>
    <row r="270" spans="24:24" x14ac:dyDescent="0.2">
      <c r="X270" s="35"/>
    </row>
    <row r="271" spans="24:24" x14ac:dyDescent="0.2">
      <c r="X271" s="35"/>
    </row>
    <row r="272" spans="24:24" x14ac:dyDescent="0.2">
      <c r="X272" s="35"/>
    </row>
    <row r="273" spans="24:24" x14ac:dyDescent="0.2">
      <c r="X273" s="35"/>
    </row>
    <row r="274" spans="24:24" x14ac:dyDescent="0.2">
      <c r="X274" s="35"/>
    </row>
    <row r="275" spans="24:24" x14ac:dyDescent="0.2">
      <c r="X275" s="35"/>
    </row>
    <row r="276" spans="24:24" x14ac:dyDescent="0.2">
      <c r="X276" s="35"/>
    </row>
    <row r="277" spans="24:24" x14ac:dyDescent="0.2">
      <c r="X277" s="35"/>
    </row>
    <row r="278" spans="24:24" x14ac:dyDescent="0.2">
      <c r="X278" s="35"/>
    </row>
    <row r="279" spans="24:24" x14ac:dyDescent="0.2">
      <c r="X279" s="35"/>
    </row>
    <row r="280" spans="24:24" x14ac:dyDescent="0.2">
      <c r="X280" s="35"/>
    </row>
    <row r="281" spans="24:24" x14ac:dyDescent="0.2">
      <c r="X281" s="35"/>
    </row>
    <row r="282" spans="24:24" x14ac:dyDescent="0.2">
      <c r="X282" s="35"/>
    </row>
    <row r="283" spans="24:24" x14ac:dyDescent="0.2">
      <c r="X283" s="35"/>
    </row>
    <row r="284" spans="24:24" x14ac:dyDescent="0.2">
      <c r="X284" s="35"/>
    </row>
    <row r="285" spans="24:24" x14ac:dyDescent="0.2">
      <c r="X285" s="35"/>
    </row>
    <row r="286" spans="24:24" x14ac:dyDescent="0.2">
      <c r="X286" s="35"/>
    </row>
    <row r="287" spans="24:24" x14ac:dyDescent="0.2">
      <c r="X287" s="35"/>
    </row>
    <row r="288" spans="24:24" x14ac:dyDescent="0.2">
      <c r="X288" s="35"/>
    </row>
    <row r="289" spans="24:24" x14ac:dyDescent="0.2">
      <c r="X289" s="35"/>
    </row>
    <row r="290" spans="24:24" x14ac:dyDescent="0.2">
      <c r="X290" s="35"/>
    </row>
    <row r="291" spans="24:24" x14ac:dyDescent="0.2">
      <c r="X291" s="35"/>
    </row>
    <row r="292" spans="24:24" x14ac:dyDescent="0.2">
      <c r="X292" s="35"/>
    </row>
    <row r="293" spans="24:24" x14ac:dyDescent="0.2">
      <c r="X293" s="35"/>
    </row>
    <row r="294" spans="24:24" x14ac:dyDescent="0.2">
      <c r="X294" s="35"/>
    </row>
    <row r="295" spans="24:24" x14ac:dyDescent="0.2">
      <c r="X295" s="35"/>
    </row>
    <row r="296" spans="24:24" x14ac:dyDescent="0.2">
      <c r="X296" s="35"/>
    </row>
    <row r="297" spans="24:24" x14ac:dyDescent="0.2">
      <c r="X297" s="35"/>
    </row>
    <row r="298" spans="24:24" x14ac:dyDescent="0.2">
      <c r="X298" s="35"/>
    </row>
    <row r="299" spans="24:24" x14ac:dyDescent="0.2">
      <c r="X299" s="35"/>
    </row>
    <row r="300" spans="24:24" x14ac:dyDescent="0.2">
      <c r="X300" s="35"/>
    </row>
    <row r="301" spans="24:24" x14ac:dyDescent="0.2">
      <c r="X301" s="35"/>
    </row>
    <row r="302" spans="24:24" x14ac:dyDescent="0.2">
      <c r="X302" s="35"/>
    </row>
    <row r="303" spans="24:24" x14ac:dyDescent="0.2">
      <c r="X303" s="35"/>
    </row>
    <row r="304" spans="24:24" x14ac:dyDescent="0.2">
      <c r="X304" s="35"/>
    </row>
    <row r="305" spans="24:24" x14ac:dyDescent="0.2">
      <c r="X305" s="35"/>
    </row>
    <row r="306" spans="24:24" x14ac:dyDescent="0.2">
      <c r="X306" s="35"/>
    </row>
    <row r="307" spans="24:24" x14ac:dyDescent="0.2">
      <c r="X307" s="35"/>
    </row>
    <row r="308" spans="24:24" x14ac:dyDescent="0.2">
      <c r="X308" s="35"/>
    </row>
    <row r="309" spans="24:24" x14ac:dyDescent="0.2">
      <c r="X309" s="35"/>
    </row>
    <row r="310" spans="24:24" x14ac:dyDescent="0.2">
      <c r="X310" s="35"/>
    </row>
    <row r="311" spans="24:24" x14ac:dyDescent="0.2">
      <c r="X311" s="35"/>
    </row>
    <row r="312" spans="24:24" x14ac:dyDescent="0.2">
      <c r="X312" s="35"/>
    </row>
    <row r="313" spans="24:24" x14ac:dyDescent="0.2">
      <c r="X313" s="35"/>
    </row>
    <row r="314" spans="24:24" x14ac:dyDescent="0.2">
      <c r="X314" s="35"/>
    </row>
    <row r="315" spans="24:24" x14ac:dyDescent="0.2">
      <c r="X315" s="35"/>
    </row>
    <row r="316" spans="24:24" x14ac:dyDescent="0.2">
      <c r="X316" s="35"/>
    </row>
    <row r="317" spans="24:24" x14ac:dyDescent="0.2">
      <c r="X317" s="35"/>
    </row>
    <row r="318" spans="24:24" x14ac:dyDescent="0.2">
      <c r="X318" s="35"/>
    </row>
    <row r="319" spans="24:24" x14ac:dyDescent="0.2">
      <c r="X319" s="35"/>
    </row>
    <row r="320" spans="24:24" x14ac:dyDescent="0.2">
      <c r="X320" s="35"/>
    </row>
    <row r="321" spans="24:24" x14ac:dyDescent="0.2">
      <c r="X321" s="35"/>
    </row>
    <row r="322" spans="24:24" x14ac:dyDescent="0.2">
      <c r="X322" s="35"/>
    </row>
    <row r="323" spans="24:24" x14ac:dyDescent="0.2">
      <c r="X323" s="35"/>
    </row>
    <row r="324" spans="24:24" x14ac:dyDescent="0.2">
      <c r="X324" s="35"/>
    </row>
    <row r="325" spans="24:24" x14ac:dyDescent="0.2">
      <c r="X325" s="35"/>
    </row>
    <row r="326" spans="24:24" x14ac:dyDescent="0.2">
      <c r="X326" s="35"/>
    </row>
    <row r="327" spans="24:24" x14ac:dyDescent="0.2">
      <c r="X327" s="35"/>
    </row>
    <row r="328" spans="24:24" x14ac:dyDescent="0.2">
      <c r="X328" s="35"/>
    </row>
    <row r="329" spans="24:24" x14ac:dyDescent="0.2">
      <c r="X329" s="35"/>
    </row>
    <row r="330" spans="24:24" x14ac:dyDescent="0.2">
      <c r="X330" s="35"/>
    </row>
    <row r="331" spans="24:24" x14ac:dyDescent="0.2">
      <c r="X331" s="35"/>
    </row>
    <row r="332" spans="24:24" x14ac:dyDescent="0.2">
      <c r="X332" s="35"/>
    </row>
    <row r="333" spans="24:24" x14ac:dyDescent="0.2">
      <c r="X333" s="35"/>
    </row>
    <row r="334" spans="24:24" x14ac:dyDescent="0.2">
      <c r="X334" s="35"/>
    </row>
    <row r="335" spans="24:24" x14ac:dyDescent="0.2">
      <c r="X335" s="35"/>
    </row>
    <row r="336" spans="24:24" x14ac:dyDescent="0.2">
      <c r="X336" s="35"/>
    </row>
    <row r="337" spans="24:24" x14ac:dyDescent="0.2">
      <c r="X337" s="35"/>
    </row>
    <row r="338" spans="24:24" x14ac:dyDescent="0.2">
      <c r="X338" s="35"/>
    </row>
    <row r="339" spans="24:24" x14ac:dyDescent="0.2">
      <c r="X339" s="35"/>
    </row>
    <row r="340" spans="24:24" x14ac:dyDescent="0.2">
      <c r="X340" s="35"/>
    </row>
    <row r="341" spans="24:24" x14ac:dyDescent="0.2">
      <c r="X341" s="35"/>
    </row>
    <row r="342" spans="24:24" x14ac:dyDescent="0.2">
      <c r="X342" s="35"/>
    </row>
    <row r="343" spans="24:24" x14ac:dyDescent="0.2">
      <c r="X343" s="35"/>
    </row>
    <row r="344" spans="24:24" x14ac:dyDescent="0.2">
      <c r="X344" s="35"/>
    </row>
    <row r="345" spans="24:24" x14ac:dyDescent="0.2">
      <c r="X345" s="35"/>
    </row>
    <row r="346" spans="24:24" x14ac:dyDescent="0.2">
      <c r="X346" s="35"/>
    </row>
    <row r="347" spans="24:24" x14ac:dyDescent="0.2">
      <c r="X347" s="35"/>
    </row>
    <row r="348" spans="24:24" x14ac:dyDescent="0.2">
      <c r="X348" s="35"/>
    </row>
    <row r="349" spans="24:24" x14ac:dyDescent="0.2">
      <c r="X349" s="35"/>
    </row>
    <row r="350" spans="24:24" x14ac:dyDescent="0.2">
      <c r="X350" s="35"/>
    </row>
    <row r="351" spans="24:24" x14ac:dyDescent="0.2">
      <c r="X351" s="35"/>
    </row>
    <row r="352" spans="24:24" x14ac:dyDescent="0.2">
      <c r="X352" s="35"/>
    </row>
    <row r="353" spans="24:24" x14ac:dyDescent="0.2">
      <c r="X353" s="35"/>
    </row>
    <row r="354" spans="24:24" x14ac:dyDescent="0.2">
      <c r="X354" s="35"/>
    </row>
    <row r="355" spans="24:24" x14ac:dyDescent="0.2">
      <c r="X355" s="35"/>
    </row>
    <row r="356" spans="24:24" x14ac:dyDescent="0.2">
      <c r="X356" s="35"/>
    </row>
    <row r="357" spans="24:24" x14ac:dyDescent="0.2">
      <c r="X357" s="35"/>
    </row>
    <row r="358" spans="24:24" x14ac:dyDescent="0.2">
      <c r="X358" s="35"/>
    </row>
    <row r="359" spans="24:24" x14ac:dyDescent="0.2">
      <c r="X359" s="35"/>
    </row>
    <row r="360" spans="24:24" x14ac:dyDescent="0.2">
      <c r="X360" s="35"/>
    </row>
    <row r="361" spans="24:24" x14ac:dyDescent="0.2">
      <c r="X361" s="35"/>
    </row>
    <row r="362" spans="24:24" x14ac:dyDescent="0.2">
      <c r="X362" s="35"/>
    </row>
    <row r="363" spans="24:24" x14ac:dyDescent="0.2">
      <c r="X363" s="35"/>
    </row>
    <row r="364" spans="24:24" x14ac:dyDescent="0.2">
      <c r="X364" s="35"/>
    </row>
    <row r="365" spans="24:24" x14ac:dyDescent="0.2">
      <c r="X365" s="35"/>
    </row>
    <row r="366" spans="24:24" x14ac:dyDescent="0.2">
      <c r="X366" s="35"/>
    </row>
    <row r="367" spans="24:24" x14ac:dyDescent="0.2">
      <c r="X367" s="35"/>
    </row>
    <row r="368" spans="24:24" x14ac:dyDescent="0.2">
      <c r="X368" s="35"/>
    </row>
    <row r="369" spans="24:24" x14ac:dyDescent="0.2">
      <c r="X369" s="35"/>
    </row>
    <row r="370" spans="24:24" x14ac:dyDescent="0.2">
      <c r="X370" s="35"/>
    </row>
    <row r="371" spans="24:24" x14ac:dyDescent="0.2">
      <c r="X371" s="35"/>
    </row>
    <row r="372" spans="24:24" x14ac:dyDescent="0.2">
      <c r="X372" s="35"/>
    </row>
    <row r="373" spans="24:24" x14ac:dyDescent="0.2">
      <c r="X373" s="35"/>
    </row>
    <row r="374" spans="24:24" x14ac:dyDescent="0.2">
      <c r="X374" s="35"/>
    </row>
    <row r="375" spans="24:24" x14ac:dyDescent="0.2">
      <c r="X375" s="35"/>
    </row>
    <row r="376" spans="24:24" x14ac:dyDescent="0.2">
      <c r="X376" s="35"/>
    </row>
    <row r="377" spans="24:24" x14ac:dyDescent="0.2">
      <c r="X377" s="35"/>
    </row>
    <row r="378" spans="24:24" x14ac:dyDescent="0.2">
      <c r="X378" s="35"/>
    </row>
    <row r="379" spans="24:24" x14ac:dyDescent="0.2">
      <c r="X379" s="35"/>
    </row>
    <row r="380" spans="24:24" x14ac:dyDescent="0.2">
      <c r="X380" s="35"/>
    </row>
    <row r="381" spans="24:24" x14ac:dyDescent="0.2">
      <c r="X381" s="35"/>
    </row>
    <row r="382" spans="24:24" x14ac:dyDescent="0.2">
      <c r="X382" s="35"/>
    </row>
    <row r="383" spans="24:24" x14ac:dyDescent="0.2">
      <c r="X383" s="35"/>
    </row>
    <row r="384" spans="24:24" x14ac:dyDescent="0.2">
      <c r="X384" s="35"/>
    </row>
    <row r="385" spans="24:24" x14ac:dyDescent="0.2">
      <c r="X385" s="35"/>
    </row>
    <row r="386" spans="24:24" x14ac:dyDescent="0.2">
      <c r="X386" s="35"/>
    </row>
    <row r="387" spans="24:24" x14ac:dyDescent="0.2">
      <c r="X387" s="35"/>
    </row>
    <row r="388" spans="24:24" x14ac:dyDescent="0.2">
      <c r="X388" s="35"/>
    </row>
    <row r="389" spans="24:24" x14ac:dyDescent="0.2">
      <c r="X389" s="35"/>
    </row>
    <row r="390" spans="24:24" x14ac:dyDescent="0.2">
      <c r="X390" s="35"/>
    </row>
    <row r="391" spans="24:24" x14ac:dyDescent="0.2">
      <c r="X391" s="35"/>
    </row>
    <row r="392" spans="24:24" x14ac:dyDescent="0.2">
      <c r="X392" s="35"/>
    </row>
    <row r="393" spans="24:24" x14ac:dyDescent="0.2">
      <c r="X393" s="35"/>
    </row>
    <row r="394" spans="24:24" x14ac:dyDescent="0.2">
      <c r="X394" s="35"/>
    </row>
    <row r="395" spans="24:24" x14ac:dyDescent="0.2">
      <c r="X395" s="35"/>
    </row>
    <row r="396" spans="24:24" x14ac:dyDescent="0.2">
      <c r="X396" s="35"/>
    </row>
    <row r="397" spans="24:24" x14ac:dyDescent="0.2">
      <c r="X397" s="35"/>
    </row>
    <row r="398" spans="24:24" x14ac:dyDescent="0.2">
      <c r="X398" s="35"/>
    </row>
    <row r="399" spans="24:24" x14ac:dyDescent="0.2">
      <c r="X399" s="35"/>
    </row>
    <row r="400" spans="24:24" x14ac:dyDescent="0.2">
      <c r="X400" s="35"/>
    </row>
    <row r="401" spans="24:24" x14ac:dyDescent="0.2">
      <c r="X401" s="35"/>
    </row>
    <row r="402" spans="24:24" x14ac:dyDescent="0.2">
      <c r="X402" s="35"/>
    </row>
    <row r="403" spans="24:24" x14ac:dyDescent="0.2">
      <c r="X403" s="35"/>
    </row>
    <row r="404" spans="24:24" x14ac:dyDescent="0.2">
      <c r="X404" s="35"/>
    </row>
    <row r="405" spans="24:24" x14ac:dyDescent="0.2">
      <c r="X405" s="35"/>
    </row>
    <row r="406" spans="24:24" x14ac:dyDescent="0.2">
      <c r="X406" s="35"/>
    </row>
    <row r="407" spans="24:24" x14ac:dyDescent="0.2">
      <c r="X407" s="35"/>
    </row>
    <row r="408" spans="24:24" x14ac:dyDescent="0.2">
      <c r="X408" s="35"/>
    </row>
    <row r="409" spans="24:24" x14ac:dyDescent="0.2">
      <c r="X409" s="35"/>
    </row>
    <row r="410" spans="24:24" x14ac:dyDescent="0.2">
      <c r="X410" s="35"/>
    </row>
    <row r="411" spans="24:24" x14ac:dyDescent="0.2">
      <c r="X411" s="35"/>
    </row>
    <row r="412" spans="24:24" x14ac:dyDescent="0.2">
      <c r="X412" s="35"/>
    </row>
    <row r="413" spans="24:24" x14ac:dyDescent="0.2">
      <c r="X413" s="35"/>
    </row>
    <row r="414" spans="24:24" x14ac:dyDescent="0.2">
      <c r="X414" s="35"/>
    </row>
    <row r="415" spans="24:24" x14ac:dyDescent="0.2">
      <c r="X415" s="35"/>
    </row>
    <row r="416" spans="24:24" x14ac:dyDescent="0.2">
      <c r="X416" s="35"/>
    </row>
    <row r="417" spans="24:24" x14ac:dyDescent="0.2">
      <c r="X417" s="35"/>
    </row>
    <row r="418" spans="24:24" x14ac:dyDescent="0.2">
      <c r="X418" s="35"/>
    </row>
    <row r="419" spans="24:24" x14ac:dyDescent="0.2">
      <c r="X419" s="35"/>
    </row>
    <row r="420" spans="24:24" x14ac:dyDescent="0.2">
      <c r="X420" s="35"/>
    </row>
    <row r="421" spans="24:24" x14ac:dyDescent="0.2">
      <c r="X421" s="35"/>
    </row>
    <row r="422" spans="24:24" x14ac:dyDescent="0.2">
      <c r="X422" s="35"/>
    </row>
    <row r="423" spans="24:24" x14ac:dyDescent="0.2">
      <c r="X423" s="35"/>
    </row>
    <row r="424" spans="24:24" x14ac:dyDescent="0.2">
      <c r="X424" s="35"/>
    </row>
    <row r="425" spans="24:24" x14ac:dyDescent="0.2">
      <c r="X425" s="35"/>
    </row>
    <row r="426" spans="24:24" x14ac:dyDescent="0.2">
      <c r="X426" s="35"/>
    </row>
    <row r="427" spans="24:24" x14ac:dyDescent="0.2">
      <c r="X427" s="35"/>
    </row>
    <row r="428" spans="24:24" x14ac:dyDescent="0.2">
      <c r="X428" s="35"/>
    </row>
    <row r="429" spans="24:24" x14ac:dyDescent="0.2">
      <c r="X429" s="35"/>
    </row>
    <row r="430" spans="24:24" x14ac:dyDescent="0.2">
      <c r="X430" s="35"/>
    </row>
    <row r="431" spans="24:24" x14ac:dyDescent="0.2">
      <c r="X431" s="35"/>
    </row>
    <row r="432" spans="24:24" x14ac:dyDescent="0.2">
      <c r="X432" s="35"/>
    </row>
    <row r="433" spans="24:24" x14ac:dyDescent="0.2">
      <c r="X433" s="35"/>
    </row>
    <row r="434" spans="24:24" x14ac:dyDescent="0.2">
      <c r="X434" s="35"/>
    </row>
    <row r="435" spans="24:24" x14ac:dyDescent="0.2">
      <c r="X435" s="35"/>
    </row>
    <row r="436" spans="24:24" x14ac:dyDescent="0.2">
      <c r="X436" s="35"/>
    </row>
    <row r="437" spans="24:24" x14ac:dyDescent="0.2">
      <c r="X437" s="35"/>
    </row>
    <row r="438" spans="24:24" x14ac:dyDescent="0.2">
      <c r="X438" s="35"/>
    </row>
    <row r="439" spans="24:24" x14ac:dyDescent="0.2">
      <c r="X439" s="35"/>
    </row>
    <row r="440" spans="24:24" x14ac:dyDescent="0.2">
      <c r="X440" s="35"/>
    </row>
    <row r="441" spans="24:24" x14ac:dyDescent="0.2">
      <c r="X441" s="35"/>
    </row>
    <row r="442" spans="24:24" x14ac:dyDescent="0.2">
      <c r="X442" s="35"/>
    </row>
    <row r="443" spans="24:24" x14ac:dyDescent="0.2">
      <c r="X443" s="35"/>
    </row>
    <row r="444" spans="24:24" x14ac:dyDescent="0.2">
      <c r="X444" s="35"/>
    </row>
    <row r="445" spans="24:24" x14ac:dyDescent="0.2">
      <c r="X445" s="35"/>
    </row>
    <row r="446" spans="24:24" x14ac:dyDescent="0.2">
      <c r="X446" s="35"/>
    </row>
    <row r="447" spans="24:24" x14ac:dyDescent="0.2">
      <c r="X447" s="35"/>
    </row>
    <row r="448" spans="24:24" x14ac:dyDescent="0.2">
      <c r="X448" s="35"/>
    </row>
    <row r="449" spans="24:24" x14ac:dyDescent="0.2">
      <c r="X449" s="35"/>
    </row>
    <row r="450" spans="24:24" x14ac:dyDescent="0.2">
      <c r="X450" s="35"/>
    </row>
    <row r="451" spans="24:24" x14ac:dyDescent="0.2">
      <c r="X451" s="35"/>
    </row>
    <row r="452" spans="24:24" x14ac:dyDescent="0.2">
      <c r="X452" s="35"/>
    </row>
    <row r="453" spans="24:24" x14ac:dyDescent="0.2">
      <c r="X453" s="35"/>
    </row>
    <row r="454" spans="24:24" x14ac:dyDescent="0.2">
      <c r="X454" s="35"/>
    </row>
    <row r="455" spans="24:24" x14ac:dyDescent="0.2">
      <c r="X455" s="35"/>
    </row>
    <row r="456" spans="24:24" x14ac:dyDescent="0.2">
      <c r="X456" s="35"/>
    </row>
    <row r="457" spans="24:24" x14ac:dyDescent="0.2">
      <c r="X457" s="35"/>
    </row>
    <row r="458" spans="24:24" x14ac:dyDescent="0.2">
      <c r="X458" s="35"/>
    </row>
    <row r="459" spans="24:24" x14ac:dyDescent="0.2">
      <c r="X459" s="35"/>
    </row>
    <row r="460" spans="24:24" x14ac:dyDescent="0.2">
      <c r="X460" s="35"/>
    </row>
    <row r="461" spans="24:24" x14ac:dyDescent="0.2">
      <c r="X461" s="35"/>
    </row>
    <row r="462" spans="24:24" x14ac:dyDescent="0.2">
      <c r="X462" s="35"/>
    </row>
    <row r="463" spans="24:24" x14ac:dyDescent="0.2">
      <c r="X463" s="35"/>
    </row>
    <row r="464" spans="24:24" x14ac:dyDescent="0.2">
      <c r="X464" s="35"/>
    </row>
    <row r="465" spans="24:24" x14ac:dyDescent="0.2">
      <c r="X465" s="35"/>
    </row>
    <row r="466" spans="24:24" x14ac:dyDescent="0.2">
      <c r="X466" s="35"/>
    </row>
    <row r="467" spans="24:24" x14ac:dyDescent="0.2">
      <c r="X467" s="35"/>
    </row>
    <row r="468" spans="24:24" x14ac:dyDescent="0.2">
      <c r="X468" s="35"/>
    </row>
    <row r="469" spans="24:24" x14ac:dyDescent="0.2">
      <c r="X469" s="35"/>
    </row>
    <row r="470" spans="24:24" x14ac:dyDescent="0.2">
      <c r="X470" s="35"/>
    </row>
    <row r="471" spans="24:24" x14ac:dyDescent="0.2">
      <c r="X471" s="35"/>
    </row>
    <row r="472" spans="24:24" x14ac:dyDescent="0.2">
      <c r="X472" s="35"/>
    </row>
    <row r="473" spans="24:24" x14ac:dyDescent="0.2">
      <c r="X473" s="35"/>
    </row>
    <row r="474" spans="24:24" x14ac:dyDescent="0.2">
      <c r="X474" s="35"/>
    </row>
    <row r="475" spans="24:24" x14ac:dyDescent="0.2">
      <c r="X475" s="35"/>
    </row>
    <row r="476" spans="24:24" x14ac:dyDescent="0.2">
      <c r="X476" s="35"/>
    </row>
    <row r="477" spans="24:24" x14ac:dyDescent="0.2">
      <c r="X477" s="35"/>
    </row>
    <row r="478" spans="24:24" x14ac:dyDescent="0.2">
      <c r="X478" s="35"/>
    </row>
    <row r="479" spans="24:24" x14ac:dyDescent="0.2">
      <c r="X479" s="35"/>
    </row>
    <row r="480" spans="24:24" x14ac:dyDescent="0.2">
      <c r="X480" s="35"/>
    </row>
    <row r="481" spans="24:24" x14ac:dyDescent="0.2">
      <c r="X481" s="35"/>
    </row>
    <row r="482" spans="24:24" x14ac:dyDescent="0.2">
      <c r="X482" s="35"/>
    </row>
    <row r="483" spans="24:24" x14ac:dyDescent="0.2">
      <c r="X483" s="35"/>
    </row>
    <row r="484" spans="24:24" x14ac:dyDescent="0.2">
      <c r="X484" s="35"/>
    </row>
    <row r="485" spans="24:24" x14ac:dyDescent="0.2">
      <c r="X485" s="35"/>
    </row>
    <row r="486" spans="24:24" x14ac:dyDescent="0.2">
      <c r="X486" s="35"/>
    </row>
    <row r="487" spans="24:24" x14ac:dyDescent="0.2">
      <c r="X487" s="35"/>
    </row>
    <row r="488" spans="24:24" x14ac:dyDescent="0.2">
      <c r="X488" s="35"/>
    </row>
    <row r="489" spans="24:24" x14ac:dyDescent="0.2">
      <c r="X489" s="35"/>
    </row>
    <row r="490" spans="24:24" x14ac:dyDescent="0.2">
      <c r="X490" s="35"/>
    </row>
    <row r="491" spans="24:24" x14ac:dyDescent="0.2">
      <c r="X491" s="35"/>
    </row>
    <row r="492" spans="24:24" x14ac:dyDescent="0.2">
      <c r="X492" s="35"/>
    </row>
    <row r="493" spans="24:24" x14ac:dyDescent="0.2">
      <c r="X493" s="35"/>
    </row>
    <row r="494" spans="24:24" x14ac:dyDescent="0.2">
      <c r="X494" s="35"/>
    </row>
    <row r="495" spans="24:24" x14ac:dyDescent="0.2">
      <c r="X495" s="35"/>
    </row>
    <row r="496" spans="24:24" x14ac:dyDescent="0.2">
      <c r="X496" s="35"/>
    </row>
    <row r="497" spans="24:24" x14ac:dyDescent="0.2">
      <c r="X497" s="35"/>
    </row>
    <row r="498" spans="24:24" x14ac:dyDescent="0.2">
      <c r="X498" s="35"/>
    </row>
    <row r="499" spans="24:24" x14ac:dyDescent="0.2">
      <c r="X499" s="35"/>
    </row>
    <row r="500" spans="24:24" x14ac:dyDescent="0.2">
      <c r="X500" s="35"/>
    </row>
    <row r="501" spans="24:24" x14ac:dyDescent="0.2">
      <c r="X501" s="35"/>
    </row>
    <row r="502" spans="24:24" x14ac:dyDescent="0.2">
      <c r="X502" s="35"/>
    </row>
    <row r="503" spans="24:24" x14ac:dyDescent="0.2">
      <c r="X503" s="35"/>
    </row>
    <row r="504" spans="24:24" x14ac:dyDescent="0.2">
      <c r="X504" s="35"/>
    </row>
    <row r="505" spans="24:24" x14ac:dyDescent="0.2">
      <c r="X505" s="35"/>
    </row>
    <row r="506" spans="24:24" x14ac:dyDescent="0.2">
      <c r="X506" s="35"/>
    </row>
    <row r="507" spans="24:24" x14ac:dyDescent="0.2">
      <c r="X507" s="35"/>
    </row>
    <row r="508" spans="24:24" x14ac:dyDescent="0.2">
      <c r="X508" s="35"/>
    </row>
    <row r="509" spans="24:24" x14ac:dyDescent="0.2">
      <c r="X509" s="35"/>
    </row>
    <row r="510" spans="24:24" x14ac:dyDescent="0.2">
      <c r="X510" s="35"/>
    </row>
    <row r="511" spans="24:24" x14ac:dyDescent="0.2">
      <c r="X511" s="35"/>
    </row>
    <row r="512" spans="24:24" x14ac:dyDescent="0.2">
      <c r="X512" s="35"/>
    </row>
    <row r="513" spans="24:24" x14ac:dyDescent="0.2">
      <c r="X513" s="35"/>
    </row>
    <row r="514" spans="24:24" x14ac:dyDescent="0.2">
      <c r="X514" s="35"/>
    </row>
    <row r="515" spans="24:24" x14ac:dyDescent="0.2">
      <c r="X515" s="35"/>
    </row>
    <row r="516" spans="24:24" x14ac:dyDescent="0.2">
      <c r="X516" s="35"/>
    </row>
    <row r="517" spans="24:24" x14ac:dyDescent="0.2">
      <c r="X517" s="35"/>
    </row>
    <row r="518" spans="24:24" x14ac:dyDescent="0.2">
      <c r="X518" s="35"/>
    </row>
    <row r="519" spans="24:24" x14ac:dyDescent="0.2">
      <c r="X519" s="35"/>
    </row>
    <row r="520" spans="24:24" x14ac:dyDescent="0.2">
      <c r="X520" s="35"/>
    </row>
    <row r="521" spans="24:24" x14ac:dyDescent="0.2">
      <c r="X521" s="35"/>
    </row>
    <row r="522" spans="24:24" x14ac:dyDescent="0.2">
      <c r="X522" s="35"/>
    </row>
    <row r="523" spans="24:24" x14ac:dyDescent="0.2">
      <c r="X523" s="35"/>
    </row>
    <row r="524" spans="24:24" x14ac:dyDescent="0.2">
      <c r="X524" s="35"/>
    </row>
    <row r="525" spans="24:24" x14ac:dyDescent="0.2">
      <c r="X525" s="35"/>
    </row>
    <row r="526" spans="24:24" x14ac:dyDescent="0.2">
      <c r="X526" s="35"/>
    </row>
    <row r="527" spans="24:24" x14ac:dyDescent="0.2">
      <c r="X527" s="35"/>
    </row>
    <row r="528" spans="24:24" x14ac:dyDescent="0.2">
      <c r="X528" s="35"/>
    </row>
    <row r="529" spans="24:24" x14ac:dyDescent="0.2">
      <c r="X529" s="35"/>
    </row>
    <row r="530" spans="24:24" x14ac:dyDescent="0.2">
      <c r="X530" s="35"/>
    </row>
    <row r="531" spans="24:24" x14ac:dyDescent="0.2">
      <c r="X531" s="35"/>
    </row>
    <row r="532" spans="24:24" x14ac:dyDescent="0.2">
      <c r="X532" s="35"/>
    </row>
    <row r="533" spans="24:24" x14ac:dyDescent="0.2">
      <c r="X533" s="35"/>
    </row>
    <row r="534" spans="24:24" x14ac:dyDescent="0.2">
      <c r="X534" s="35"/>
    </row>
    <row r="535" spans="24:24" x14ac:dyDescent="0.2">
      <c r="X535" s="35"/>
    </row>
    <row r="536" spans="24:24" x14ac:dyDescent="0.2">
      <c r="X536" s="35"/>
    </row>
    <row r="537" spans="24:24" x14ac:dyDescent="0.2">
      <c r="X537" s="35"/>
    </row>
    <row r="538" spans="24:24" x14ac:dyDescent="0.2">
      <c r="X538" s="35"/>
    </row>
    <row r="539" spans="24:24" x14ac:dyDescent="0.2">
      <c r="X539" s="35"/>
    </row>
    <row r="540" spans="24:24" x14ac:dyDescent="0.2">
      <c r="X540" s="35"/>
    </row>
    <row r="541" spans="24:24" x14ac:dyDescent="0.2">
      <c r="X541" s="35"/>
    </row>
    <row r="542" spans="24:24" x14ac:dyDescent="0.2">
      <c r="X542" s="35"/>
    </row>
    <row r="543" spans="24:24" x14ac:dyDescent="0.2">
      <c r="X543" s="35"/>
    </row>
    <row r="544" spans="24:24" x14ac:dyDescent="0.2">
      <c r="X544" s="35"/>
    </row>
    <row r="545" spans="24:24" x14ac:dyDescent="0.2">
      <c r="X545" s="35"/>
    </row>
    <row r="546" spans="24:24" x14ac:dyDescent="0.2">
      <c r="X546" s="35"/>
    </row>
    <row r="547" spans="24:24" x14ac:dyDescent="0.2">
      <c r="X547" s="35"/>
    </row>
    <row r="548" spans="24:24" x14ac:dyDescent="0.2">
      <c r="X548" s="35"/>
    </row>
    <row r="549" spans="24:24" x14ac:dyDescent="0.2">
      <c r="X549" s="35"/>
    </row>
    <row r="550" spans="24:24" x14ac:dyDescent="0.2">
      <c r="X550" s="35"/>
    </row>
    <row r="551" spans="24:24" x14ac:dyDescent="0.2">
      <c r="X551" s="35"/>
    </row>
    <row r="552" spans="24:24" x14ac:dyDescent="0.2">
      <c r="X552" s="35"/>
    </row>
    <row r="553" spans="24:24" x14ac:dyDescent="0.2">
      <c r="X553" s="35"/>
    </row>
    <row r="554" spans="24:24" x14ac:dyDescent="0.2">
      <c r="X554" s="35"/>
    </row>
    <row r="555" spans="24:24" x14ac:dyDescent="0.2">
      <c r="X555" s="35"/>
    </row>
    <row r="556" spans="24:24" x14ac:dyDescent="0.2">
      <c r="X556" s="35"/>
    </row>
    <row r="557" spans="24:24" x14ac:dyDescent="0.2">
      <c r="X557" s="35"/>
    </row>
    <row r="558" spans="24:24" x14ac:dyDescent="0.2">
      <c r="X558" s="35"/>
    </row>
    <row r="559" spans="24:24" x14ac:dyDescent="0.2">
      <c r="X559" s="35"/>
    </row>
    <row r="560" spans="24:24" x14ac:dyDescent="0.2">
      <c r="X560" s="35"/>
    </row>
    <row r="561" spans="24:24" x14ac:dyDescent="0.2">
      <c r="X561" s="35"/>
    </row>
    <row r="562" spans="24:24" x14ac:dyDescent="0.2">
      <c r="X562" s="35"/>
    </row>
    <row r="563" spans="24:24" x14ac:dyDescent="0.2">
      <c r="X563" s="35"/>
    </row>
    <row r="564" spans="24:24" x14ac:dyDescent="0.2">
      <c r="X564" s="35"/>
    </row>
    <row r="565" spans="24:24" x14ac:dyDescent="0.2">
      <c r="X565" s="35"/>
    </row>
    <row r="566" spans="24:24" x14ac:dyDescent="0.2">
      <c r="X566" s="35"/>
    </row>
    <row r="567" spans="24:24" x14ac:dyDescent="0.2">
      <c r="X567" s="35"/>
    </row>
    <row r="568" spans="24:24" x14ac:dyDescent="0.2">
      <c r="X568" s="35"/>
    </row>
    <row r="569" spans="24:24" x14ac:dyDescent="0.2">
      <c r="X569" s="35"/>
    </row>
    <row r="570" spans="24:24" x14ac:dyDescent="0.2">
      <c r="X570" s="35"/>
    </row>
    <row r="571" spans="24:24" x14ac:dyDescent="0.2">
      <c r="X571" s="35"/>
    </row>
    <row r="572" spans="24:24" x14ac:dyDescent="0.2">
      <c r="X572" s="35"/>
    </row>
    <row r="573" spans="24:24" x14ac:dyDescent="0.2">
      <c r="X573" s="35"/>
    </row>
    <row r="574" spans="24:24" x14ac:dyDescent="0.2">
      <c r="X574" s="35"/>
    </row>
    <row r="575" spans="24:24" x14ac:dyDescent="0.2">
      <c r="X575" s="35"/>
    </row>
    <row r="576" spans="24:24" x14ac:dyDescent="0.2">
      <c r="X576" s="35"/>
    </row>
    <row r="577" spans="24:24" x14ac:dyDescent="0.2">
      <c r="X577" s="35"/>
    </row>
    <row r="578" spans="24:24" x14ac:dyDescent="0.2">
      <c r="X578" s="35"/>
    </row>
    <row r="579" spans="24:24" x14ac:dyDescent="0.2">
      <c r="X579" s="35"/>
    </row>
    <row r="580" spans="24:24" x14ac:dyDescent="0.2">
      <c r="X580" s="35"/>
    </row>
    <row r="581" spans="24:24" x14ac:dyDescent="0.2">
      <c r="X581" s="35"/>
    </row>
    <row r="582" spans="24:24" x14ac:dyDescent="0.2">
      <c r="X582" s="35"/>
    </row>
    <row r="583" spans="24:24" x14ac:dyDescent="0.2">
      <c r="X583" s="35"/>
    </row>
    <row r="584" spans="24:24" x14ac:dyDescent="0.2">
      <c r="X584" s="35"/>
    </row>
    <row r="585" spans="24:24" x14ac:dyDescent="0.2">
      <c r="X585" s="35"/>
    </row>
    <row r="586" spans="24:24" x14ac:dyDescent="0.2">
      <c r="X586" s="35"/>
    </row>
    <row r="587" spans="24:24" x14ac:dyDescent="0.2">
      <c r="X587" s="35"/>
    </row>
    <row r="588" spans="24:24" x14ac:dyDescent="0.2">
      <c r="X588" s="35"/>
    </row>
    <row r="589" spans="24:24" x14ac:dyDescent="0.2">
      <c r="X589" s="35"/>
    </row>
    <row r="590" spans="24:24" x14ac:dyDescent="0.2">
      <c r="X590" s="35"/>
    </row>
    <row r="591" spans="24:24" x14ac:dyDescent="0.2">
      <c r="X591" s="35"/>
    </row>
    <row r="592" spans="24:24" x14ac:dyDescent="0.2">
      <c r="X592" s="35"/>
    </row>
    <row r="593" spans="24:24" x14ac:dyDescent="0.2">
      <c r="X593" s="35"/>
    </row>
    <row r="594" spans="24:24" x14ac:dyDescent="0.2">
      <c r="X594" s="35"/>
    </row>
    <row r="595" spans="24:24" x14ac:dyDescent="0.2">
      <c r="X595" s="35"/>
    </row>
    <row r="596" spans="24:24" x14ac:dyDescent="0.2">
      <c r="X596" s="35"/>
    </row>
    <row r="597" spans="24:24" x14ac:dyDescent="0.2">
      <c r="X597" s="35"/>
    </row>
    <row r="598" spans="24:24" x14ac:dyDescent="0.2">
      <c r="X598" s="35"/>
    </row>
    <row r="599" spans="24:24" x14ac:dyDescent="0.2">
      <c r="X599" s="35"/>
    </row>
    <row r="600" spans="24:24" x14ac:dyDescent="0.2">
      <c r="X600" s="35"/>
    </row>
    <row r="601" spans="24:24" x14ac:dyDescent="0.2">
      <c r="X601" s="35"/>
    </row>
    <row r="602" spans="24:24" x14ac:dyDescent="0.2">
      <c r="X602" s="35"/>
    </row>
    <row r="603" spans="24:24" x14ac:dyDescent="0.2">
      <c r="X603" s="35"/>
    </row>
    <row r="604" spans="24:24" x14ac:dyDescent="0.2">
      <c r="X604" s="35"/>
    </row>
    <row r="605" spans="24:24" x14ac:dyDescent="0.2">
      <c r="X605" s="35"/>
    </row>
    <row r="606" spans="24:24" x14ac:dyDescent="0.2">
      <c r="X606" s="35"/>
    </row>
    <row r="607" spans="24:24" x14ac:dyDescent="0.2">
      <c r="X607" s="35"/>
    </row>
    <row r="608" spans="24:24" x14ac:dyDescent="0.2">
      <c r="X608" s="35"/>
    </row>
    <row r="609" spans="24:24" x14ac:dyDescent="0.2">
      <c r="X609" s="35"/>
    </row>
    <row r="610" spans="24:24" x14ac:dyDescent="0.2">
      <c r="X610" s="35"/>
    </row>
    <row r="611" spans="24:24" x14ac:dyDescent="0.2">
      <c r="X611" s="35"/>
    </row>
    <row r="612" spans="24:24" x14ac:dyDescent="0.2">
      <c r="X612" s="35"/>
    </row>
    <row r="613" spans="24:24" x14ac:dyDescent="0.2">
      <c r="X613" s="35"/>
    </row>
    <row r="614" spans="24:24" x14ac:dyDescent="0.2">
      <c r="X614" s="35"/>
    </row>
    <row r="615" spans="24:24" x14ac:dyDescent="0.2">
      <c r="X615" s="35"/>
    </row>
    <row r="616" spans="24:24" x14ac:dyDescent="0.2">
      <c r="X616" s="35"/>
    </row>
    <row r="617" spans="24:24" x14ac:dyDescent="0.2">
      <c r="X617" s="35"/>
    </row>
    <row r="618" spans="24:24" x14ac:dyDescent="0.2">
      <c r="X618" s="35"/>
    </row>
    <row r="619" spans="24:24" x14ac:dyDescent="0.2">
      <c r="X619" s="35"/>
    </row>
    <row r="620" spans="24:24" x14ac:dyDescent="0.2">
      <c r="X620" s="35"/>
    </row>
    <row r="621" spans="24:24" x14ac:dyDescent="0.2">
      <c r="X621" s="35"/>
    </row>
    <row r="622" spans="24:24" x14ac:dyDescent="0.2">
      <c r="X622" s="35"/>
    </row>
    <row r="623" spans="24:24" x14ac:dyDescent="0.2">
      <c r="X623" s="35"/>
    </row>
    <row r="624" spans="24:24" x14ac:dyDescent="0.2">
      <c r="X624" s="35"/>
    </row>
    <row r="625" spans="24:24" x14ac:dyDescent="0.2">
      <c r="X625" s="35"/>
    </row>
    <row r="626" spans="24:24" x14ac:dyDescent="0.2">
      <c r="X626" s="35"/>
    </row>
    <row r="627" spans="24:24" x14ac:dyDescent="0.2">
      <c r="X627" s="35"/>
    </row>
    <row r="628" spans="24:24" x14ac:dyDescent="0.2">
      <c r="X628" s="35"/>
    </row>
    <row r="629" spans="24:24" x14ac:dyDescent="0.2">
      <c r="X629" s="35"/>
    </row>
    <row r="630" spans="24:24" x14ac:dyDescent="0.2">
      <c r="X630" s="35"/>
    </row>
    <row r="631" spans="24:24" x14ac:dyDescent="0.2">
      <c r="X631" s="35"/>
    </row>
    <row r="632" spans="24:24" x14ac:dyDescent="0.2">
      <c r="X632" s="35"/>
    </row>
    <row r="633" spans="24:24" x14ac:dyDescent="0.2">
      <c r="X633" s="35"/>
    </row>
    <row r="634" spans="24:24" x14ac:dyDescent="0.2">
      <c r="X634" s="35"/>
    </row>
    <row r="635" spans="24:24" x14ac:dyDescent="0.2">
      <c r="X635" s="35"/>
    </row>
    <row r="636" spans="24:24" x14ac:dyDescent="0.2">
      <c r="X636" s="35"/>
    </row>
    <row r="637" spans="24:24" x14ac:dyDescent="0.2">
      <c r="X637" s="35"/>
    </row>
    <row r="638" spans="24:24" x14ac:dyDescent="0.2">
      <c r="X638" s="35"/>
    </row>
    <row r="639" spans="24:24" x14ac:dyDescent="0.2">
      <c r="X639" s="35"/>
    </row>
    <row r="640" spans="24:24" x14ac:dyDescent="0.2">
      <c r="X640" s="35"/>
    </row>
    <row r="641" spans="24:24" x14ac:dyDescent="0.2">
      <c r="X641" s="35"/>
    </row>
    <row r="642" spans="24:24" x14ac:dyDescent="0.2">
      <c r="X642" s="35"/>
    </row>
    <row r="643" spans="24:24" x14ac:dyDescent="0.2">
      <c r="X643" s="35"/>
    </row>
    <row r="644" spans="24:24" x14ac:dyDescent="0.2">
      <c r="X644" s="35"/>
    </row>
    <row r="645" spans="24:24" x14ac:dyDescent="0.2">
      <c r="X645" s="35"/>
    </row>
    <row r="646" spans="24:24" x14ac:dyDescent="0.2">
      <c r="X646" s="35"/>
    </row>
    <row r="647" spans="24:24" x14ac:dyDescent="0.2">
      <c r="X647" s="35"/>
    </row>
    <row r="648" spans="24:24" x14ac:dyDescent="0.2">
      <c r="X648" s="35"/>
    </row>
    <row r="649" spans="24:24" x14ac:dyDescent="0.2">
      <c r="X649" s="35"/>
    </row>
    <row r="650" spans="24:24" x14ac:dyDescent="0.2">
      <c r="X650" s="35"/>
    </row>
    <row r="651" spans="24:24" x14ac:dyDescent="0.2">
      <c r="X651" s="35"/>
    </row>
    <row r="652" spans="24:24" x14ac:dyDescent="0.2">
      <c r="X652" s="35"/>
    </row>
    <row r="653" spans="24:24" x14ac:dyDescent="0.2">
      <c r="X653" s="35"/>
    </row>
    <row r="654" spans="24:24" x14ac:dyDescent="0.2">
      <c r="X654" s="35"/>
    </row>
    <row r="655" spans="24:24" x14ac:dyDescent="0.2">
      <c r="X655" s="35"/>
    </row>
    <row r="656" spans="24:24" x14ac:dyDescent="0.2">
      <c r="X656" s="35"/>
    </row>
    <row r="657" spans="24:24" x14ac:dyDescent="0.2">
      <c r="X657" s="35"/>
    </row>
    <row r="658" spans="24:24" x14ac:dyDescent="0.2">
      <c r="X658" s="35"/>
    </row>
    <row r="659" spans="24:24" x14ac:dyDescent="0.2">
      <c r="X659" s="35"/>
    </row>
    <row r="660" spans="24:24" x14ac:dyDescent="0.2">
      <c r="X660" s="35"/>
    </row>
    <row r="661" spans="24:24" x14ac:dyDescent="0.2">
      <c r="X661" s="35"/>
    </row>
    <row r="662" spans="24:24" x14ac:dyDescent="0.2">
      <c r="X662" s="35"/>
    </row>
    <row r="663" spans="24:24" x14ac:dyDescent="0.2">
      <c r="X663" s="35"/>
    </row>
    <row r="664" spans="24:24" x14ac:dyDescent="0.2">
      <c r="X664" s="35"/>
    </row>
    <row r="665" spans="24:24" x14ac:dyDescent="0.2">
      <c r="X665" s="35"/>
    </row>
    <row r="666" spans="24:24" x14ac:dyDescent="0.2">
      <c r="X666" s="35"/>
    </row>
    <row r="667" spans="24:24" x14ac:dyDescent="0.2">
      <c r="X667" s="35"/>
    </row>
    <row r="668" spans="24:24" x14ac:dyDescent="0.2">
      <c r="X668" s="35"/>
    </row>
    <row r="669" spans="24:24" x14ac:dyDescent="0.2">
      <c r="X669" s="35"/>
    </row>
    <row r="670" spans="24:24" x14ac:dyDescent="0.2">
      <c r="X670" s="35"/>
    </row>
    <row r="671" spans="24:24" x14ac:dyDescent="0.2">
      <c r="X671" s="35"/>
    </row>
    <row r="672" spans="24:24" x14ac:dyDescent="0.2">
      <c r="X672" s="35"/>
    </row>
    <row r="673" spans="24:24" x14ac:dyDescent="0.2">
      <c r="X673" s="35"/>
    </row>
    <row r="674" spans="24:24" x14ac:dyDescent="0.2">
      <c r="X674" s="35"/>
    </row>
    <row r="675" spans="24:24" x14ac:dyDescent="0.2">
      <c r="X675" s="35"/>
    </row>
    <row r="676" spans="24:24" x14ac:dyDescent="0.2">
      <c r="X676" s="35"/>
    </row>
    <row r="677" spans="24:24" x14ac:dyDescent="0.2">
      <c r="X677" s="35"/>
    </row>
    <row r="678" spans="24:24" x14ac:dyDescent="0.2">
      <c r="X678" s="35"/>
    </row>
    <row r="679" spans="24:24" x14ac:dyDescent="0.2">
      <c r="X679" s="35"/>
    </row>
    <row r="680" spans="24:24" x14ac:dyDescent="0.2">
      <c r="X680" s="35"/>
    </row>
    <row r="681" spans="24:24" x14ac:dyDescent="0.2">
      <c r="X681" s="35"/>
    </row>
    <row r="682" spans="24:24" x14ac:dyDescent="0.2">
      <c r="X682" s="35"/>
    </row>
    <row r="683" spans="24:24" x14ac:dyDescent="0.2">
      <c r="X683" s="35"/>
    </row>
    <row r="684" spans="24:24" x14ac:dyDescent="0.2">
      <c r="X684" s="35"/>
    </row>
    <row r="685" spans="24:24" x14ac:dyDescent="0.2">
      <c r="X685" s="35"/>
    </row>
    <row r="686" spans="24:24" x14ac:dyDescent="0.2">
      <c r="X686" s="35"/>
    </row>
    <row r="687" spans="24:24" x14ac:dyDescent="0.2">
      <c r="X687" s="35"/>
    </row>
    <row r="688" spans="24:24" x14ac:dyDescent="0.2">
      <c r="X688" s="35"/>
    </row>
    <row r="689" spans="24:24" x14ac:dyDescent="0.2">
      <c r="X689" s="35"/>
    </row>
    <row r="690" spans="24:24" x14ac:dyDescent="0.2">
      <c r="X690" s="35"/>
    </row>
    <row r="691" spans="24:24" x14ac:dyDescent="0.2">
      <c r="X691" s="35"/>
    </row>
    <row r="692" spans="24:24" x14ac:dyDescent="0.2">
      <c r="X692" s="35"/>
    </row>
    <row r="693" spans="24:24" x14ac:dyDescent="0.2">
      <c r="X693" s="35"/>
    </row>
    <row r="694" spans="24:24" x14ac:dyDescent="0.2">
      <c r="X694" s="35"/>
    </row>
    <row r="695" spans="24:24" x14ac:dyDescent="0.2">
      <c r="X695" s="35"/>
    </row>
    <row r="696" spans="24:24" x14ac:dyDescent="0.2">
      <c r="X696" s="35"/>
    </row>
    <row r="697" spans="24:24" x14ac:dyDescent="0.2">
      <c r="X697" s="35"/>
    </row>
    <row r="698" spans="24:24" x14ac:dyDescent="0.2">
      <c r="X698" s="35"/>
    </row>
    <row r="699" spans="24:24" x14ac:dyDescent="0.2">
      <c r="X699" s="35"/>
    </row>
    <row r="700" spans="24:24" x14ac:dyDescent="0.2">
      <c r="X700" s="35"/>
    </row>
    <row r="701" spans="24:24" x14ac:dyDescent="0.2">
      <c r="X701" s="35"/>
    </row>
    <row r="702" spans="24:24" x14ac:dyDescent="0.2">
      <c r="X702" s="35"/>
    </row>
    <row r="703" spans="24:24" x14ac:dyDescent="0.2">
      <c r="X703" s="35"/>
    </row>
    <row r="704" spans="24:24" x14ac:dyDescent="0.2">
      <c r="X704" s="35"/>
    </row>
    <row r="705" spans="24:24" x14ac:dyDescent="0.2">
      <c r="X705" s="35"/>
    </row>
    <row r="706" spans="24:24" x14ac:dyDescent="0.2">
      <c r="X706" s="35"/>
    </row>
    <row r="707" spans="24:24" x14ac:dyDescent="0.2">
      <c r="X707" s="35"/>
    </row>
    <row r="708" spans="24:24" x14ac:dyDescent="0.2">
      <c r="X708" s="35"/>
    </row>
    <row r="709" spans="24:24" x14ac:dyDescent="0.2">
      <c r="X709" s="35"/>
    </row>
    <row r="710" spans="24:24" x14ac:dyDescent="0.2">
      <c r="X710" s="35"/>
    </row>
    <row r="711" spans="24:24" x14ac:dyDescent="0.2">
      <c r="X711" s="35"/>
    </row>
    <row r="712" spans="24:24" x14ac:dyDescent="0.2">
      <c r="X712" s="35"/>
    </row>
    <row r="713" spans="24:24" x14ac:dyDescent="0.2">
      <c r="X713" s="35"/>
    </row>
    <row r="714" spans="24:24" x14ac:dyDescent="0.2">
      <c r="X714" s="35"/>
    </row>
    <row r="715" spans="24:24" x14ac:dyDescent="0.2">
      <c r="X715" s="35"/>
    </row>
    <row r="716" spans="24:24" x14ac:dyDescent="0.2">
      <c r="X716" s="35"/>
    </row>
    <row r="717" spans="24:24" x14ac:dyDescent="0.2">
      <c r="X717" s="35"/>
    </row>
    <row r="718" spans="24:24" x14ac:dyDescent="0.2">
      <c r="X718" s="35"/>
    </row>
    <row r="719" spans="24:24" x14ac:dyDescent="0.2">
      <c r="X719" s="35"/>
    </row>
    <row r="720" spans="24:24" x14ac:dyDescent="0.2">
      <c r="X720" s="35"/>
    </row>
    <row r="721" spans="24:24" x14ac:dyDescent="0.2">
      <c r="X721" s="35"/>
    </row>
    <row r="722" spans="24:24" x14ac:dyDescent="0.2">
      <c r="X722" s="35"/>
    </row>
    <row r="723" spans="24:24" x14ac:dyDescent="0.2">
      <c r="X723" s="35"/>
    </row>
    <row r="724" spans="24:24" x14ac:dyDescent="0.2">
      <c r="X724" s="35"/>
    </row>
    <row r="725" spans="24:24" x14ac:dyDescent="0.2">
      <c r="X725" s="35"/>
    </row>
    <row r="726" spans="24:24" x14ac:dyDescent="0.2">
      <c r="X726" s="35"/>
    </row>
    <row r="727" spans="24:24" x14ac:dyDescent="0.2">
      <c r="X727" s="35"/>
    </row>
    <row r="728" spans="24:24" x14ac:dyDescent="0.2">
      <c r="X728" s="35"/>
    </row>
    <row r="729" spans="24:24" x14ac:dyDescent="0.2">
      <c r="X729" s="35"/>
    </row>
    <row r="730" spans="24:24" x14ac:dyDescent="0.2">
      <c r="X730" s="35"/>
    </row>
    <row r="731" spans="24:24" x14ac:dyDescent="0.2">
      <c r="X731" s="35"/>
    </row>
    <row r="732" spans="24:24" x14ac:dyDescent="0.2">
      <c r="X732" s="35"/>
    </row>
    <row r="733" spans="24:24" x14ac:dyDescent="0.2">
      <c r="X733" s="35"/>
    </row>
    <row r="734" spans="24:24" x14ac:dyDescent="0.2">
      <c r="X734" s="35"/>
    </row>
    <row r="735" spans="24:24" x14ac:dyDescent="0.2">
      <c r="X735" s="35"/>
    </row>
    <row r="736" spans="24:24" x14ac:dyDescent="0.2">
      <c r="X736" s="35"/>
    </row>
    <row r="737" spans="24:24" x14ac:dyDescent="0.2">
      <c r="X737" s="35"/>
    </row>
    <row r="738" spans="24:24" x14ac:dyDescent="0.2">
      <c r="X738" s="35"/>
    </row>
    <row r="739" spans="24:24" x14ac:dyDescent="0.2">
      <c r="X739" s="35"/>
    </row>
    <row r="740" spans="24:24" x14ac:dyDescent="0.2">
      <c r="X740" s="35"/>
    </row>
    <row r="741" spans="24:24" x14ac:dyDescent="0.2">
      <c r="X741" s="35"/>
    </row>
    <row r="742" spans="24:24" x14ac:dyDescent="0.2">
      <c r="X742" s="35"/>
    </row>
    <row r="743" spans="24:24" x14ac:dyDescent="0.2">
      <c r="X743" s="35"/>
    </row>
    <row r="744" spans="24:24" x14ac:dyDescent="0.2">
      <c r="X744" s="35"/>
    </row>
    <row r="745" spans="24:24" x14ac:dyDescent="0.2">
      <c r="X745" s="35"/>
    </row>
    <row r="746" spans="24:24" x14ac:dyDescent="0.2">
      <c r="X746" s="35"/>
    </row>
    <row r="747" spans="24:24" x14ac:dyDescent="0.2">
      <c r="X747" s="35"/>
    </row>
    <row r="748" spans="24:24" x14ac:dyDescent="0.2">
      <c r="X748" s="35"/>
    </row>
    <row r="749" spans="24:24" x14ac:dyDescent="0.2">
      <c r="X749" s="35"/>
    </row>
    <row r="750" spans="24:24" x14ac:dyDescent="0.2">
      <c r="X750" s="35"/>
    </row>
    <row r="751" spans="24:24" x14ac:dyDescent="0.2">
      <c r="X751" s="35"/>
    </row>
    <row r="752" spans="24:24" x14ac:dyDescent="0.2">
      <c r="X752" s="35"/>
    </row>
    <row r="753" spans="24:24" x14ac:dyDescent="0.2">
      <c r="X753" s="35"/>
    </row>
    <row r="754" spans="24:24" x14ac:dyDescent="0.2">
      <c r="X754" s="35"/>
    </row>
    <row r="755" spans="24:24" x14ac:dyDescent="0.2">
      <c r="X755" s="35"/>
    </row>
    <row r="756" spans="24:24" x14ac:dyDescent="0.2">
      <c r="X756" s="35"/>
    </row>
    <row r="757" spans="24:24" x14ac:dyDescent="0.2">
      <c r="X757" s="35"/>
    </row>
    <row r="758" spans="24:24" x14ac:dyDescent="0.2">
      <c r="X758" s="35"/>
    </row>
    <row r="759" spans="24:24" x14ac:dyDescent="0.2">
      <c r="X759" s="35"/>
    </row>
    <row r="760" spans="24:24" x14ac:dyDescent="0.2">
      <c r="X760" s="35"/>
    </row>
    <row r="761" spans="24:24" x14ac:dyDescent="0.2">
      <c r="X761" s="35"/>
    </row>
    <row r="762" spans="24:24" x14ac:dyDescent="0.2">
      <c r="X762" s="35"/>
    </row>
    <row r="763" spans="24:24" x14ac:dyDescent="0.2">
      <c r="X763" s="35"/>
    </row>
    <row r="764" spans="24:24" x14ac:dyDescent="0.2">
      <c r="X764" s="35"/>
    </row>
    <row r="765" spans="24:24" x14ac:dyDescent="0.2">
      <c r="X765" s="35"/>
    </row>
    <row r="766" spans="24:24" x14ac:dyDescent="0.2">
      <c r="X766" s="35"/>
    </row>
    <row r="767" spans="24:24" x14ac:dyDescent="0.2">
      <c r="X767" s="35"/>
    </row>
    <row r="768" spans="24:24" x14ac:dyDescent="0.2">
      <c r="X768" s="35"/>
    </row>
    <row r="769" spans="24:24" x14ac:dyDescent="0.2">
      <c r="X769" s="35"/>
    </row>
    <row r="770" spans="24:24" x14ac:dyDescent="0.2">
      <c r="X770" s="35"/>
    </row>
    <row r="771" spans="24:24" x14ac:dyDescent="0.2">
      <c r="X771" s="35"/>
    </row>
    <row r="772" spans="24:24" x14ac:dyDescent="0.2">
      <c r="X772" s="35"/>
    </row>
    <row r="773" spans="24:24" x14ac:dyDescent="0.2">
      <c r="X773" s="35"/>
    </row>
    <row r="774" spans="24:24" x14ac:dyDescent="0.2">
      <c r="X774" s="35"/>
    </row>
    <row r="775" spans="24:24" x14ac:dyDescent="0.2">
      <c r="X775" s="35"/>
    </row>
    <row r="776" spans="24:24" x14ac:dyDescent="0.2">
      <c r="X776" s="35"/>
    </row>
    <row r="777" spans="24:24" x14ac:dyDescent="0.2">
      <c r="X777" s="35"/>
    </row>
    <row r="778" spans="24:24" x14ac:dyDescent="0.2">
      <c r="X778" s="35"/>
    </row>
    <row r="779" spans="24:24" x14ac:dyDescent="0.2">
      <c r="X779" s="35"/>
    </row>
    <row r="780" spans="24:24" x14ac:dyDescent="0.2">
      <c r="X780" s="35"/>
    </row>
    <row r="781" spans="24:24" x14ac:dyDescent="0.2">
      <c r="X781" s="35"/>
    </row>
    <row r="782" spans="24:24" x14ac:dyDescent="0.2">
      <c r="X782" s="35"/>
    </row>
    <row r="783" spans="24:24" x14ac:dyDescent="0.2">
      <c r="X783" s="35"/>
    </row>
    <row r="784" spans="24:24" x14ac:dyDescent="0.2">
      <c r="X784" s="35"/>
    </row>
    <row r="785" spans="24:24" x14ac:dyDescent="0.2">
      <c r="X785" s="35"/>
    </row>
    <row r="786" spans="24:24" x14ac:dyDescent="0.2">
      <c r="X786" s="35"/>
    </row>
    <row r="787" spans="24:24" x14ac:dyDescent="0.2">
      <c r="X787" s="35"/>
    </row>
    <row r="788" spans="24:24" x14ac:dyDescent="0.2">
      <c r="X788" s="35"/>
    </row>
    <row r="789" spans="24:24" x14ac:dyDescent="0.2">
      <c r="X789" s="35"/>
    </row>
    <row r="790" spans="24:24" x14ac:dyDescent="0.2">
      <c r="X790" s="35"/>
    </row>
    <row r="791" spans="24:24" x14ac:dyDescent="0.2">
      <c r="X791" s="35"/>
    </row>
    <row r="792" spans="24:24" x14ac:dyDescent="0.2">
      <c r="X792" s="35"/>
    </row>
    <row r="793" spans="24:24" x14ac:dyDescent="0.2">
      <c r="X793" s="35"/>
    </row>
    <row r="794" spans="24:24" x14ac:dyDescent="0.2">
      <c r="X794" s="35"/>
    </row>
    <row r="795" spans="24:24" x14ac:dyDescent="0.2">
      <c r="X795" s="35"/>
    </row>
    <row r="796" spans="24:24" x14ac:dyDescent="0.2">
      <c r="X796" s="35"/>
    </row>
    <row r="797" spans="24:24" x14ac:dyDescent="0.2">
      <c r="X797" s="35"/>
    </row>
    <row r="798" spans="24:24" x14ac:dyDescent="0.2">
      <c r="X798" s="35"/>
    </row>
    <row r="799" spans="24:24" x14ac:dyDescent="0.2">
      <c r="X799" s="35"/>
    </row>
    <row r="800" spans="24:24" x14ac:dyDescent="0.2">
      <c r="X800" s="35"/>
    </row>
    <row r="801" spans="24:24" x14ac:dyDescent="0.2">
      <c r="X801" s="35"/>
    </row>
    <row r="802" spans="24:24" x14ac:dyDescent="0.2">
      <c r="X802" s="35"/>
    </row>
    <row r="803" spans="24:24" x14ac:dyDescent="0.2">
      <c r="X803" s="35"/>
    </row>
    <row r="804" spans="24:24" x14ac:dyDescent="0.2">
      <c r="X804" s="35"/>
    </row>
    <row r="805" spans="24:24" x14ac:dyDescent="0.2">
      <c r="X805" s="35"/>
    </row>
    <row r="806" spans="24:24" x14ac:dyDescent="0.2">
      <c r="X806" s="35"/>
    </row>
    <row r="807" spans="24:24" x14ac:dyDescent="0.2">
      <c r="X807" s="35"/>
    </row>
    <row r="808" spans="24:24" x14ac:dyDescent="0.2">
      <c r="X808" s="35"/>
    </row>
    <row r="809" spans="24:24" x14ac:dyDescent="0.2">
      <c r="X809" s="35"/>
    </row>
    <row r="810" spans="24:24" x14ac:dyDescent="0.2">
      <c r="X810" s="35"/>
    </row>
    <row r="811" spans="24:24" x14ac:dyDescent="0.2">
      <c r="X811" s="35"/>
    </row>
    <row r="812" spans="24:24" x14ac:dyDescent="0.2">
      <c r="X812" s="35"/>
    </row>
    <row r="813" spans="24:24" x14ac:dyDescent="0.2">
      <c r="X813" s="35"/>
    </row>
    <row r="814" spans="24:24" x14ac:dyDescent="0.2">
      <c r="X814" s="35"/>
    </row>
    <row r="815" spans="24:24" x14ac:dyDescent="0.2">
      <c r="X815" s="35"/>
    </row>
    <row r="816" spans="24:24" x14ac:dyDescent="0.2">
      <c r="X816" s="35"/>
    </row>
    <row r="817" spans="24:24" x14ac:dyDescent="0.2">
      <c r="X817" s="35"/>
    </row>
    <row r="818" spans="24:24" x14ac:dyDescent="0.2">
      <c r="X818" s="35"/>
    </row>
    <row r="819" spans="24:24" x14ac:dyDescent="0.2">
      <c r="X819" s="35"/>
    </row>
    <row r="820" spans="24:24" x14ac:dyDescent="0.2">
      <c r="X820" s="35"/>
    </row>
    <row r="821" spans="24:24" x14ac:dyDescent="0.2">
      <c r="X821" s="35"/>
    </row>
    <row r="822" spans="24:24" x14ac:dyDescent="0.2">
      <c r="X822" s="35"/>
    </row>
    <row r="823" spans="24:24" x14ac:dyDescent="0.2">
      <c r="X823" s="35"/>
    </row>
    <row r="824" spans="24:24" x14ac:dyDescent="0.2">
      <c r="X824" s="35"/>
    </row>
    <row r="825" spans="24:24" x14ac:dyDescent="0.2">
      <c r="X825" s="35"/>
    </row>
    <row r="826" spans="24:24" x14ac:dyDescent="0.2">
      <c r="X826" s="35"/>
    </row>
    <row r="827" spans="24:24" x14ac:dyDescent="0.2">
      <c r="X827" s="35"/>
    </row>
    <row r="828" spans="24:24" x14ac:dyDescent="0.2">
      <c r="X828" s="35"/>
    </row>
    <row r="829" spans="24:24" x14ac:dyDescent="0.2">
      <c r="X829" s="35"/>
    </row>
    <row r="830" spans="24:24" x14ac:dyDescent="0.2">
      <c r="X830" s="35"/>
    </row>
    <row r="831" spans="24:24" x14ac:dyDescent="0.2">
      <c r="X831" s="35"/>
    </row>
    <row r="832" spans="24:24" x14ac:dyDescent="0.2">
      <c r="X832" s="35"/>
    </row>
    <row r="833" spans="24:24" x14ac:dyDescent="0.2">
      <c r="X833" s="35"/>
    </row>
    <row r="834" spans="24:24" x14ac:dyDescent="0.2">
      <c r="X834" s="35"/>
    </row>
    <row r="835" spans="24:24" x14ac:dyDescent="0.2">
      <c r="X835" s="35"/>
    </row>
    <row r="836" spans="24:24" x14ac:dyDescent="0.2">
      <c r="X836" s="35"/>
    </row>
    <row r="837" spans="24:24" x14ac:dyDescent="0.2">
      <c r="X837" s="35"/>
    </row>
    <row r="838" spans="24:24" x14ac:dyDescent="0.2">
      <c r="X838" s="35"/>
    </row>
    <row r="839" spans="24:24" x14ac:dyDescent="0.2">
      <c r="X839" s="35"/>
    </row>
    <row r="840" spans="24:24" x14ac:dyDescent="0.2">
      <c r="X840" s="35"/>
    </row>
    <row r="841" spans="24:24" x14ac:dyDescent="0.2">
      <c r="X841" s="35"/>
    </row>
    <row r="842" spans="24:24" x14ac:dyDescent="0.2">
      <c r="X842" s="35"/>
    </row>
    <row r="843" spans="24:24" x14ac:dyDescent="0.2">
      <c r="X843" s="35"/>
    </row>
    <row r="844" spans="24:24" x14ac:dyDescent="0.2">
      <c r="X844" s="35"/>
    </row>
    <row r="845" spans="24:24" x14ac:dyDescent="0.2">
      <c r="X845" s="35"/>
    </row>
    <row r="846" spans="24:24" x14ac:dyDescent="0.2">
      <c r="X846" s="35"/>
    </row>
    <row r="847" spans="24:24" x14ac:dyDescent="0.2">
      <c r="X847" s="35"/>
    </row>
    <row r="848" spans="24:24" x14ac:dyDescent="0.2">
      <c r="X848" s="35"/>
    </row>
    <row r="849" spans="24:24" x14ac:dyDescent="0.2">
      <c r="X849" s="35"/>
    </row>
    <row r="850" spans="24:24" x14ac:dyDescent="0.2">
      <c r="X850" s="35"/>
    </row>
    <row r="851" spans="24:24" x14ac:dyDescent="0.2">
      <c r="X851" s="35"/>
    </row>
    <row r="852" spans="24:24" x14ac:dyDescent="0.2">
      <c r="X852" s="35"/>
    </row>
    <row r="853" spans="24:24" x14ac:dyDescent="0.2">
      <c r="X853" s="35"/>
    </row>
    <row r="854" spans="24:24" x14ac:dyDescent="0.2">
      <c r="X854" s="35"/>
    </row>
    <row r="855" spans="24:24" x14ac:dyDescent="0.2">
      <c r="X855" s="35"/>
    </row>
    <row r="856" spans="24:24" x14ac:dyDescent="0.2">
      <c r="X856" s="35"/>
    </row>
    <row r="857" spans="24:24" x14ac:dyDescent="0.2">
      <c r="X857" s="35"/>
    </row>
    <row r="858" spans="24:24" x14ac:dyDescent="0.2">
      <c r="X858" s="35"/>
    </row>
    <row r="859" spans="24:24" x14ac:dyDescent="0.2">
      <c r="X859" s="35"/>
    </row>
    <row r="860" spans="24:24" x14ac:dyDescent="0.2">
      <c r="X860" s="35"/>
    </row>
    <row r="861" spans="24:24" x14ac:dyDescent="0.2">
      <c r="X861" s="35"/>
    </row>
    <row r="862" spans="24:24" x14ac:dyDescent="0.2">
      <c r="X862" s="35"/>
    </row>
    <row r="863" spans="24:24" x14ac:dyDescent="0.2">
      <c r="X863" s="35"/>
    </row>
    <row r="864" spans="24:24" x14ac:dyDescent="0.2">
      <c r="X864" s="35"/>
    </row>
    <row r="865" spans="24:24" x14ac:dyDescent="0.2">
      <c r="X865" s="35"/>
    </row>
    <row r="866" spans="24:24" x14ac:dyDescent="0.2">
      <c r="X866" s="35"/>
    </row>
    <row r="867" spans="24:24" x14ac:dyDescent="0.2">
      <c r="X867" s="35"/>
    </row>
    <row r="868" spans="24:24" x14ac:dyDescent="0.2">
      <c r="X868" s="35"/>
    </row>
    <row r="869" spans="24:24" x14ac:dyDescent="0.2">
      <c r="X869" s="35"/>
    </row>
    <row r="870" spans="24:24" x14ac:dyDescent="0.2">
      <c r="X870" s="35"/>
    </row>
    <row r="871" spans="24:24" x14ac:dyDescent="0.2">
      <c r="X871" s="35"/>
    </row>
    <row r="872" spans="24:24" x14ac:dyDescent="0.2">
      <c r="X872" s="35"/>
    </row>
    <row r="873" spans="24:24" x14ac:dyDescent="0.2">
      <c r="X873" s="35"/>
    </row>
    <row r="874" spans="24:24" x14ac:dyDescent="0.2">
      <c r="X874" s="35"/>
    </row>
    <row r="875" spans="24:24" x14ac:dyDescent="0.2">
      <c r="X875" s="35"/>
    </row>
    <row r="876" spans="24:24" x14ac:dyDescent="0.2">
      <c r="X876" s="35"/>
    </row>
    <row r="877" spans="24:24" x14ac:dyDescent="0.2">
      <c r="X877" s="35"/>
    </row>
    <row r="878" spans="24:24" x14ac:dyDescent="0.2">
      <c r="X878" s="35"/>
    </row>
    <row r="879" spans="24:24" x14ac:dyDescent="0.2">
      <c r="X879" s="35"/>
    </row>
    <row r="880" spans="24:24" x14ac:dyDescent="0.2">
      <c r="X880" s="35"/>
    </row>
    <row r="881" spans="24:24" x14ac:dyDescent="0.2">
      <c r="X881" s="35"/>
    </row>
    <row r="882" spans="24:24" x14ac:dyDescent="0.2">
      <c r="X882" s="35"/>
    </row>
    <row r="883" spans="24:24" x14ac:dyDescent="0.2">
      <c r="X883" s="35"/>
    </row>
    <row r="884" spans="24:24" x14ac:dyDescent="0.2">
      <c r="X884" s="35"/>
    </row>
    <row r="885" spans="24:24" x14ac:dyDescent="0.2">
      <c r="X885" s="35"/>
    </row>
    <row r="886" spans="24:24" x14ac:dyDescent="0.2">
      <c r="X886" s="35"/>
    </row>
    <row r="887" spans="24:24" x14ac:dyDescent="0.2">
      <c r="X887" s="35"/>
    </row>
    <row r="888" spans="24:24" x14ac:dyDescent="0.2">
      <c r="X888" s="35"/>
    </row>
    <row r="889" spans="24:24" x14ac:dyDescent="0.2">
      <c r="X889" s="35"/>
    </row>
    <row r="890" spans="24:24" x14ac:dyDescent="0.2">
      <c r="X890" s="35"/>
    </row>
    <row r="891" spans="24:24" x14ac:dyDescent="0.2">
      <c r="X891" s="35"/>
    </row>
    <row r="892" spans="24:24" x14ac:dyDescent="0.2">
      <c r="X892" s="35"/>
    </row>
    <row r="893" spans="24:24" x14ac:dyDescent="0.2">
      <c r="X893" s="35"/>
    </row>
    <row r="894" spans="24:24" x14ac:dyDescent="0.2">
      <c r="X894" s="35"/>
    </row>
    <row r="895" spans="24:24" x14ac:dyDescent="0.2">
      <c r="X895" s="35"/>
    </row>
    <row r="896" spans="24:24" x14ac:dyDescent="0.2">
      <c r="X896" s="35"/>
    </row>
    <row r="897" spans="24:24" x14ac:dyDescent="0.2">
      <c r="X897" s="35"/>
    </row>
    <row r="898" spans="24:24" x14ac:dyDescent="0.2">
      <c r="X898" s="35"/>
    </row>
    <row r="899" spans="24:24" x14ac:dyDescent="0.2">
      <c r="X899" s="35"/>
    </row>
    <row r="900" spans="24:24" x14ac:dyDescent="0.2">
      <c r="X900" s="35"/>
    </row>
    <row r="901" spans="24:24" x14ac:dyDescent="0.2">
      <c r="X901" s="35"/>
    </row>
    <row r="902" spans="24:24" x14ac:dyDescent="0.2">
      <c r="X902" s="35"/>
    </row>
    <row r="903" spans="24:24" x14ac:dyDescent="0.2">
      <c r="X903" s="35"/>
    </row>
    <row r="904" spans="24:24" x14ac:dyDescent="0.2">
      <c r="X904" s="35"/>
    </row>
    <row r="905" spans="24:24" x14ac:dyDescent="0.2">
      <c r="X905" s="35"/>
    </row>
    <row r="906" spans="24:24" x14ac:dyDescent="0.2">
      <c r="X906" s="35"/>
    </row>
    <row r="907" spans="24:24" x14ac:dyDescent="0.2">
      <c r="X907" s="35"/>
    </row>
    <row r="908" spans="24:24" x14ac:dyDescent="0.2">
      <c r="X908" s="35"/>
    </row>
    <row r="909" spans="24:24" x14ac:dyDescent="0.2">
      <c r="X909" s="35"/>
    </row>
    <row r="910" spans="24:24" x14ac:dyDescent="0.2">
      <c r="X910" s="35"/>
    </row>
    <row r="911" spans="24:24" x14ac:dyDescent="0.2">
      <c r="X911" s="35"/>
    </row>
    <row r="912" spans="24:24" x14ac:dyDescent="0.2">
      <c r="X912" s="35"/>
    </row>
    <row r="913" spans="24:24" x14ac:dyDescent="0.2">
      <c r="X913" s="35"/>
    </row>
    <row r="914" spans="24:24" x14ac:dyDescent="0.2">
      <c r="X914" s="35"/>
    </row>
    <row r="915" spans="24:24" x14ac:dyDescent="0.2">
      <c r="X915" s="35"/>
    </row>
    <row r="916" spans="24:24" x14ac:dyDescent="0.2">
      <c r="X916" s="35"/>
    </row>
    <row r="917" spans="24:24" x14ac:dyDescent="0.2">
      <c r="X917" s="35"/>
    </row>
    <row r="918" spans="24:24" x14ac:dyDescent="0.2">
      <c r="X918" s="35"/>
    </row>
    <row r="919" spans="24:24" x14ac:dyDescent="0.2">
      <c r="X919" s="35"/>
    </row>
    <row r="920" spans="24:24" x14ac:dyDescent="0.2">
      <c r="X920" s="35"/>
    </row>
    <row r="921" spans="24:24" x14ac:dyDescent="0.2">
      <c r="X921" s="35"/>
    </row>
    <row r="922" spans="24:24" x14ac:dyDescent="0.2">
      <c r="X922" s="35"/>
    </row>
    <row r="923" spans="24:24" x14ac:dyDescent="0.2">
      <c r="X923" s="35"/>
    </row>
    <row r="924" spans="24:24" x14ac:dyDescent="0.2">
      <c r="X924" s="35"/>
    </row>
    <row r="925" spans="24:24" x14ac:dyDescent="0.2">
      <c r="X925" s="35"/>
    </row>
    <row r="926" spans="24:24" x14ac:dyDescent="0.2">
      <c r="X926" s="35"/>
    </row>
    <row r="927" spans="24:24" x14ac:dyDescent="0.2">
      <c r="X927" s="35"/>
    </row>
    <row r="928" spans="24:24" x14ac:dyDescent="0.2">
      <c r="X928" s="35"/>
    </row>
    <row r="929" spans="24:24" x14ac:dyDescent="0.2">
      <c r="X929" s="35"/>
    </row>
    <row r="930" spans="24:24" x14ac:dyDescent="0.2">
      <c r="X930" s="35"/>
    </row>
    <row r="931" spans="24:24" x14ac:dyDescent="0.2">
      <c r="X931" s="35"/>
    </row>
    <row r="932" spans="24:24" x14ac:dyDescent="0.2">
      <c r="X932" s="35"/>
    </row>
    <row r="933" spans="24:24" x14ac:dyDescent="0.2">
      <c r="X933" s="35"/>
    </row>
    <row r="934" spans="24:24" x14ac:dyDescent="0.2">
      <c r="X934" s="35"/>
    </row>
    <row r="935" spans="24:24" x14ac:dyDescent="0.2">
      <c r="X935" s="35"/>
    </row>
    <row r="936" spans="24:24" x14ac:dyDescent="0.2">
      <c r="X936" s="35"/>
    </row>
    <row r="937" spans="24:24" x14ac:dyDescent="0.2">
      <c r="X937" s="35"/>
    </row>
    <row r="938" spans="24:24" x14ac:dyDescent="0.2">
      <c r="X938" s="35"/>
    </row>
    <row r="939" spans="24:24" x14ac:dyDescent="0.2">
      <c r="X939" s="35"/>
    </row>
    <row r="940" spans="24:24" x14ac:dyDescent="0.2">
      <c r="X940" s="35"/>
    </row>
    <row r="941" spans="24:24" x14ac:dyDescent="0.2">
      <c r="X941" s="35"/>
    </row>
    <row r="942" spans="24:24" x14ac:dyDescent="0.2">
      <c r="X942" s="35"/>
    </row>
    <row r="943" spans="24:24" x14ac:dyDescent="0.2">
      <c r="X943" s="35"/>
    </row>
    <row r="944" spans="24:24" x14ac:dyDescent="0.2">
      <c r="X944" s="35"/>
    </row>
    <row r="945" spans="24:24" x14ac:dyDescent="0.2">
      <c r="X945" s="35"/>
    </row>
    <row r="946" spans="24:24" x14ac:dyDescent="0.2">
      <c r="X946" s="35"/>
    </row>
    <row r="947" spans="24:24" x14ac:dyDescent="0.2">
      <c r="X947" s="35"/>
    </row>
    <row r="948" spans="24:24" x14ac:dyDescent="0.2">
      <c r="X948" s="35"/>
    </row>
    <row r="949" spans="24:24" x14ac:dyDescent="0.2">
      <c r="X949" s="35"/>
    </row>
    <row r="950" spans="24:24" x14ac:dyDescent="0.2">
      <c r="X950" s="35"/>
    </row>
    <row r="951" spans="24:24" x14ac:dyDescent="0.2">
      <c r="X951" s="35"/>
    </row>
  </sheetData>
  <autoFilter ref="A1:T101" xr:uid="{00000000-0009-0000-0000-000002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3069-6ABE-6143-B212-831E587579D8}">
  <dimension ref="A1:R104"/>
  <sheetViews>
    <sheetView workbookViewId="0">
      <pane xSplit="5" ySplit="1" topLeftCell="O89" activePane="bottomRight" state="frozen"/>
      <selection pane="topRight"/>
      <selection pane="bottomLeft"/>
      <selection pane="bottomRight" activeCell="P2" sqref="P2:R102"/>
    </sheetView>
  </sheetViews>
  <sheetFormatPr baseColWidth="10" defaultColWidth="8.83203125" defaultRowHeight="15" x14ac:dyDescent="0.2"/>
  <cols>
    <col min="1" max="1" width="10" style="22" customWidth="1"/>
    <col min="2" max="2" width="28" style="22" customWidth="1"/>
    <col min="3" max="3" width="34" style="22" customWidth="1"/>
    <col min="4" max="4" width="14.33203125" style="22" customWidth="1"/>
    <col min="5" max="5" width="14" style="22" customWidth="1"/>
    <col min="6" max="15" width="18" style="22" customWidth="1"/>
    <col min="16" max="16384" width="8.83203125" style="22"/>
  </cols>
  <sheetData>
    <row r="1" spans="1:18" x14ac:dyDescent="0.2">
      <c r="A1" s="20" t="s">
        <v>294</v>
      </c>
      <c r="B1" s="20" t="s">
        <v>295</v>
      </c>
      <c r="C1" s="20" t="s">
        <v>651</v>
      </c>
      <c r="D1" s="20" t="s">
        <v>650</v>
      </c>
      <c r="E1" s="20" t="s">
        <v>655</v>
      </c>
      <c r="F1" s="20" t="s">
        <v>138</v>
      </c>
      <c r="G1" s="20" t="s">
        <v>139</v>
      </c>
      <c r="H1" s="20" t="s">
        <v>140</v>
      </c>
      <c r="I1" s="20" t="s">
        <v>141</v>
      </c>
      <c r="J1" s="20" t="s">
        <v>143</v>
      </c>
      <c r="K1" s="20" t="s">
        <v>147</v>
      </c>
      <c r="L1" s="20" t="s">
        <v>148</v>
      </c>
      <c r="M1" s="20" t="s">
        <v>149</v>
      </c>
      <c r="N1" s="20" t="s">
        <v>150</v>
      </c>
      <c r="O1" s="20" t="s">
        <v>151</v>
      </c>
      <c r="P1" s="34" t="s">
        <v>648</v>
      </c>
      <c r="Q1" s="34" t="s">
        <v>654</v>
      </c>
      <c r="R1" s="34" t="s">
        <v>653</v>
      </c>
    </row>
    <row r="2" spans="1:18" x14ac:dyDescent="0.2">
      <c r="A2" s="25" t="s">
        <v>297</v>
      </c>
      <c r="B2" s="26" t="s">
        <v>298</v>
      </c>
      <c r="C2" s="25" t="s">
        <v>647</v>
      </c>
      <c r="D2" s="26"/>
      <c r="E2" s="25" t="s">
        <v>299</v>
      </c>
      <c r="F2" s="25"/>
      <c r="G2" s="25"/>
      <c r="H2" s="25"/>
      <c r="I2" s="39" t="s">
        <v>299</v>
      </c>
      <c r="J2" s="38" t="s">
        <v>652</v>
      </c>
      <c r="K2" s="25"/>
      <c r="L2" s="25"/>
      <c r="M2" s="25"/>
      <c r="N2" s="25"/>
      <c r="O2" s="25"/>
      <c r="P2" s="22">
        <f t="shared" ref="P2:P65" si="0">COUNTIF(F2:O2, "FP")</f>
        <v>1</v>
      </c>
      <c r="Q2" s="22">
        <f t="shared" ref="Q2:Q65" si="1">COUNTIF(F2:O2, "XX")</f>
        <v>1</v>
      </c>
      <c r="R2" s="22">
        <f>P2+Q2</f>
        <v>2</v>
      </c>
    </row>
    <row r="3" spans="1:18" x14ac:dyDescent="0.2">
      <c r="A3" s="25" t="s">
        <v>300</v>
      </c>
      <c r="B3" s="26" t="s">
        <v>301</v>
      </c>
      <c r="C3" s="25" t="s">
        <v>646</v>
      </c>
      <c r="D3" s="26"/>
      <c r="E3" s="25" t="s">
        <v>299</v>
      </c>
      <c r="F3" s="38" t="s">
        <v>652</v>
      </c>
      <c r="G3" s="25"/>
      <c r="H3" s="25"/>
      <c r="I3" s="38" t="s">
        <v>652</v>
      </c>
      <c r="J3" s="38" t="s">
        <v>652</v>
      </c>
      <c r="K3" s="25"/>
      <c r="L3" s="25"/>
      <c r="M3" s="25"/>
      <c r="N3" s="25"/>
      <c r="O3" s="25"/>
      <c r="P3" s="22">
        <f t="shared" si="0"/>
        <v>0</v>
      </c>
      <c r="Q3" s="22">
        <f t="shared" si="1"/>
        <v>3</v>
      </c>
      <c r="R3" s="22">
        <f t="shared" ref="R3:R66" si="2">P3+Q3</f>
        <v>3</v>
      </c>
    </row>
    <row r="4" spans="1:18" x14ac:dyDescent="0.2">
      <c r="A4" s="25" t="s">
        <v>302</v>
      </c>
      <c r="B4" s="26" t="s">
        <v>303</v>
      </c>
      <c r="C4" s="25" t="s">
        <v>645</v>
      </c>
      <c r="D4" s="26"/>
      <c r="E4" s="25" t="s">
        <v>299</v>
      </c>
      <c r="F4" s="39" t="s">
        <v>299</v>
      </c>
      <c r="G4" s="25"/>
      <c r="H4" s="25"/>
      <c r="I4" s="39" t="s">
        <v>299</v>
      </c>
      <c r="J4" s="39" t="s">
        <v>299</v>
      </c>
      <c r="K4" s="25"/>
      <c r="L4" s="25"/>
      <c r="M4" s="25"/>
      <c r="N4" s="38" t="s">
        <v>652</v>
      </c>
      <c r="O4" s="25"/>
      <c r="P4" s="22">
        <f t="shared" si="0"/>
        <v>3</v>
      </c>
      <c r="Q4" s="22">
        <f t="shared" si="1"/>
        <v>1</v>
      </c>
      <c r="R4" s="22">
        <f t="shared" si="2"/>
        <v>4</v>
      </c>
    </row>
    <row r="5" spans="1:18" x14ac:dyDescent="0.2">
      <c r="A5" s="25" t="s">
        <v>304</v>
      </c>
      <c r="B5" s="26" t="s">
        <v>305</v>
      </c>
      <c r="C5" s="25" t="s">
        <v>644</v>
      </c>
      <c r="D5" s="26"/>
      <c r="E5" s="25" t="s">
        <v>299</v>
      </c>
      <c r="F5" s="39" t="s">
        <v>299</v>
      </c>
      <c r="G5" s="25"/>
      <c r="H5" s="25"/>
      <c r="I5" s="25"/>
      <c r="J5" s="38" t="s">
        <v>652</v>
      </c>
      <c r="K5" s="38" t="s">
        <v>652</v>
      </c>
      <c r="L5" s="25"/>
      <c r="M5" s="25"/>
      <c r="N5" s="25"/>
      <c r="O5" s="25"/>
      <c r="P5" s="22">
        <f t="shared" si="0"/>
        <v>1</v>
      </c>
      <c r="Q5" s="22">
        <f t="shared" si="1"/>
        <v>2</v>
      </c>
      <c r="R5" s="22">
        <f t="shared" si="2"/>
        <v>3</v>
      </c>
    </row>
    <row r="6" spans="1:18" x14ac:dyDescent="0.2">
      <c r="A6" s="25" t="s">
        <v>306</v>
      </c>
      <c r="B6" s="26" t="s">
        <v>307</v>
      </c>
      <c r="C6" s="25" t="s">
        <v>643</v>
      </c>
      <c r="D6" s="26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2">
        <f t="shared" si="0"/>
        <v>0</v>
      </c>
      <c r="Q6" s="22">
        <f t="shared" si="1"/>
        <v>0</v>
      </c>
      <c r="R6" s="22">
        <f t="shared" si="2"/>
        <v>0</v>
      </c>
    </row>
    <row r="7" spans="1:18" x14ac:dyDescent="0.2">
      <c r="A7" s="25" t="s">
        <v>308</v>
      </c>
      <c r="B7" s="26" t="s">
        <v>309</v>
      </c>
      <c r="C7" s="25" t="s">
        <v>642</v>
      </c>
      <c r="D7" s="26"/>
      <c r="E7" s="25" t="s">
        <v>299</v>
      </c>
      <c r="F7" s="39" t="s">
        <v>299</v>
      </c>
      <c r="G7" s="38" t="s">
        <v>652</v>
      </c>
      <c r="H7" s="39" t="s">
        <v>299</v>
      </c>
      <c r="I7" s="39" t="s">
        <v>299</v>
      </c>
      <c r="J7" s="38" t="s">
        <v>652</v>
      </c>
      <c r="K7" s="25"/>
      <c r="L7" s="25"/>
      <c r="M7" s="25"/>
      <c r="N7" s="25"/>
      <c r="O7" s="25"/>
      <c r="P7" s="22">
        <f t="shared" si="0"/>
        <v>3</v>
      </c>
      <c r="Q7" s="22">
        <f t="shared" si="1"/>
        <v>2</v>
      </c>
      <c r="R7" s="22">
        <f t="shared" si="2"/>
        <v>5</v>
      </c>
    </row>
    <row r="8" spans="1:18" x14ac:dyDescent="0.2">
      <c r="A8" s="25" t="s">
        <v>310</v>
      </c>
      <c r="B8" s="26" t="s">
        <v>311</v>
      </c>
      <c r="C8" s="25" t="s">
        <v>641</v>
      </c>
      <c r="D8" s="26"/>
      <c r="E8" s="25" t="s">
        <v>299</v>
      </c>
      <c r="F8" s="39" t="s">
        <v>299</v>
      </c>
      <c r="G8" s="25"/>
      <c r="H8" s="25"/>
      <c r="I8" s="25"/>
      <c r="J8" s="38" t="s">
        <v>652</v>
      </c>
      <c r="K8" s="25"/>
      <c r="L8" s="25"/>
      <c r="M8" s="25"/>
      <c r="N8" s="38" t="s">
        <v>652</v>
      </c>
      <c r="O8" s="25"/>
      <c r="P8" s="22">
        <f t="shared" si="0"/>
        <v>1</v>
      </c>
      <c r="Q8" s="22">
        <f t="shared" si="1"/>
        <v>2</v>
      </c>
      <c r="R8" s="22">
        <f t="shared" si="2"/>
        <v>3</v>
      </c>
    </row>
    <row r="9" spans="1:18" x14ac:dyDescent="0.2">
      <c r="A9" s="25" t="s">
        <v>312</v>
      </c>
      <c r="B9" s="26" t="s">
        <v>313</v>
      </c>
      <c r="C9" s="25" t="s">
        <v>640</v>
      </c>
      <c r="D9" s="26"/>
      <c r="E9" s="25" t="s">
        <v>299</v>
      </c>
      <c r="F9" s="39" t="s">
        <v>299</v>
      </c>
      <c r="G9" s="25"/>
      <c r="H9" s="25"/>
      <c r="I9" s="39" t="s">
        <v>299</v>
      </c>
      <c r="J9" s="38" t="s">
        <v>652</v>
      </c>
      <c r="K9" s="38" t="s">
        <v>652</v>
      </c>
      <c r="L9" s="25"/>
      <c r="M9" s="25"/>
      <c r="N9" s="25"/>
      <c r="O9" s="25"/>
      <c r="P9" s="22">
        <f t="shared" si="0"/>
        <v>2</v>
      </c>
      <c r="Q9" s="22">
        <f t="shared" si="1"/>
        <v>2</v>
      </c>
      <c r="R9" s="22">
        <f t="shared" si="2"/>
        <v>4</v>
      </c>
    </row>
    <row r="10" spans="1:18" x14ac:dyDescent="0.2">
      <c r="A10" s="25" t="s">
        <v>314</v>
      </c>
      <c r="B10" s="26" t="s">
        <v>315</v>
      </c>
      <c r="C10" s="25" t="s">
        <v>639</v>
      </c>
      <c r="D10" s="26"/>
      <c r="E10" s="25" t="s">
        <v>299</v>
      </c>
      <c r="F10" s="25"/>
      <c r="G10" s="25"/>
      <c r="H10" s="38" t="s">
        <v>652</v>
      </c>
      <c r="I10" s="39" t="s">
        <v>299</v>
      </c>
      <c r="J10" s="38" t="s">
        <v>652</v>
      </c>
      <c r="K10" s="25"/>
      <c r="L10" s="25"/>
      <c r="M10" s="38" t="s">
        <v>652</v>
      </c>
      <c r="N10" s="25"/>
      <c r="O10" s="25"/>
      <c r="P10" s="22">
        <f t="shared" si="0"/>
        <v>1</v>
      </c>
      <c r="Q10" s="22">
        <f t="shared" si="1"/>
        <v>3</v>
      </c>
      <c r="R10" s="22">
        <f t="shared" si="2"/>
        <v>4</v>
      </c>
    </row>
    <row r="11" spans="1:18" x14ac:dyDescent="0.2">
      <c r="A11" s="25" t="s">
        <v>316</v>
      </c>
      <c r="B11" s="26" t="s">
        <v>317</v>
      </c>
      <c r="C11" s="25" t="s">
        <v>638</v>
      </c>
      <c r="D11" s="2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2">
        <f t="shared" si="0"/>
        <v>0</v>
      </c>
      <c r="Q11" s="22">
        <f t="shared" si="1"/>
        <v>0</v>
      </c>
      <c r="R11" s="22">
        <f t="shared" si="2"/>
        <v>0</v>
      </c>
    </row>
    <row r="12" spans="1:18" x14ac:dyDescent="0.2">
      <c r="A12" s="25" t="s">
        <v>318</v>
      </c>
      <c r="B12" s="26" t="s">
        <v>319</v>
      </c>
      <c r="C12" s="25" t="s">
        <v>637</v>
      </c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2">
        <f t="shared" si="0"/>
        <v>0</v>
      </c>
      <c r="Q12" s="22">
        <f t="shared" si="1"/>
        <v>0</v>
      </c>
      <c r="R12" s="22">
        <f t="shared" si="2"/>
        <v>0</v>
      </c>
    </row>
    <row r="13" spans="1:18" x14ac:dyDescent="0.2">
      <c r="A13" s="25" t="s">
        <v>320</v>
      </c>
      <c r="B13" s="26" t="s">
        <v>321</v>
      </c>
      <c r="C13" s="25" t="s">
        <v>636</v>
      </c>
      <c r="D13" s="26"/>
      <c r="E13" s="25" t="s">
        <v>299</v>
      </c>
      <c r="F13" s="39" t="s">
        <v>299</v>
      </c>
      <c r="G13" s="25"/>
      <c r="H13" s="25"/>
      <c r="I13" s="25"/>
      <c r="J13" s="25"/>
      <c r="K13" s="25"/>
      <c r="L13" s="25"/>
      <c r="M13" s="25"/>
      <c r="N13" s="25"/>
      <c r="O13" s="25"/>
      <c r="P13" s="22">
        <f t="shared" si="0"/>
        <v>1</v>
      </c>
      <c r="Q13" s="22">
        <f t="shared" si="1"/>
        <v>0</v>
      </c>
      <c r="R13" s="22">
        <f t="shared" si="2"/>
        <v>1</v>
      </c>
    </row>
    <row r="14" spans="1:18" x14ac:dyDescent="0.2">
      <c r="A14" s="25" t="s">
        <v>322</v>
      </c>
      <c r="B14" s="26" t="s">
        <v>323</v>
      </c>
      <c r="C14" s="25" t="s">
        <v>635</v>
      </c>
      <c r="D14" s="26"/>
      <c r="E14" s="25" t="s">
        <v>299</v>
      </c>
      <c r="F14" s="39" t="s">
        <v>299</v>
      </c>
      <c r="G14" s="25"/>
      <c r="H14" s="39" t="s">
        <v>299</v>
      </c>
      <c r="I14" s="39" t="s">
        <v>299</v>
      </c>
      <c r="J14" s="38" t="s">
        <v>652</v>
      </c>
      <c r="K14" s="39" t="s">
        <v>299</v>
      </c>
      <c r="L14" s="38" t="s">
        <v>652</v>
      </c>
      <c r="M14" s="25"/>
      <c r="N14" s="38" t="s">
        <v>652</v>
      </c>
      <c r="O14" s="25"/>
      <c r="P14" s="22">
        <f t="shared" si="0"/>
        <v>4</v>
      </c>
      <c r="Q14" s="22">
        <f t="shared" si="1"/>
        <v>3</v>
      </c>
      <c r="R14" s="22">
        <f t="shared" si="2"/>
        <v>7</v>
      </c>
    </row>
    <row r="15" spans="1:18" x14ac:dyDescent="0.2">
      <c r="A15" s="25" t="s">
        <v>324</v>
      </c>
      <c r="B15" s="26" t="s">
        <v>325</v>
      </c>
      <c r="C15" s="25" t="s">
        <v>634</v>
      </c>
      <c r="D15" s="2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2">
        <f t="shared" si="0"/>
        <v>0</v>
      </c>
      <c r="Q15" s="22">
        <f t="shared" si="1"/>
        <v>0</v>
      </c>
      <c r="R15" s="22">
        <f t="shared" si="2"/>
        <v>0</v>
      </c>
    </row>
    <row r="16" spans="1:18" x14ac:dyDescent="0.2">
      <c r="A16" s="25" t="s">
        <v>326</v>
      </c>
      <c r="B16" s="26" t="s">
        <v>327</v>
      </c>
      <c r="C16" s="25" t="s">
        <v>633</v>
      </c>
      <c r="D16" s="26"/>
      <c r="E16" s="25" t="s">
        <v>299</v>
      </c>
      <c r="F16" s="39" t="s">
        <v>299</v>
      </c>
      <c r="G16" s="25"/>
      <c r="H16" s="25"/>
      <c r="I16" s="39" t="s">
        <v>299</v>
      </c>
      <c r="J16" s="38" t="s">
        <v>652</v>
      </c>
      <c r="K16" s="25"/>
      <c r="L16" s="25"/>
      <c r="M16" s="25"/>
      <c r="N16" s="38" t="s">
        <v>652</v>
      </c>
      <c r="O16" s="25"/>
      <c r="P16" s="22">
        <f t="shared" si="0"/>
        <v>2</v>
      </c>
      <c r="Q16" s="22">
        <f t="shared" si="1"/>
        <v>2</v>
      </c>
      <c r="R16" s="22">
        <f t="shared" si="2"/>
        <v>4</v>
      </c>
    </row>
    <row r="17" spans="1:18" x14ac:dyDescent="0.2">
      <c r="A17" s="25" t="s">
        <v>328</v>
      </c>
      <c r="B17" s="26" t="s">
        <v>329</v>
      </c>
      <c r="C17" s="25" t="s">
        <v>632</v>
      </c>
      <c r="D17" s="2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2">
        <f t="shared" si="0"/>
        <v>0</v>
      </c>
      <c r="Q17" s="22">
        <f t="shared" si="1"/>
        <v>0</v>
      </c>
      <c r="R17" s="22">
        <f t="shared" si="2"/>
        <v>0</v>
      </c>
    </row>
    <row r="18" spans="1:18" x14ac:dyDescent="0.2">
      <c r="A18" s="25" t="s">
        <v>330</v>
      </c>
      <c r="B18" s="26" t="s">
        <v>331</v>
      </c>
      <c r="C18" s="25" t="s">
        <v>631</v>
      </c>
      <c r="D18" s="26"/>
      <c r="E18" s="25" t="s">
        <v>299</v>
      </c>
      <c r="F18" s="39" t="s">
        <v>299</v>
      </c>
      <c r="G18" s="25"/>
      <c r="H18" s="25"/>
      <c r="I18" s="39" t="s">
        <v>299</v>
      </c>
      <c r="J18" s="38" t="s">
        <v>652</v>
      </c>
      <c r="K18" s="38" t="s">
        <v>652</v>
      </c>
      <c r="L18" s="25"/>
      <c r="M18" s="25"/>
      <c r="N18" s="25"/>
      <c r="O18" s="25"/>
      <c r="P18" s="22">
        <f t="shared" si="0"/>
        <v>2</v>
      </c>
      <c r="Q18" s="22">
        <f t="shared" si="1"/>
        <v>2</v>
      </c>
      <c r="R18" s="22">
        <f t="shared" si="2"/>
        <v>4</v>
      </c>
    </row>
    <row r="19" spans="1:18" x14ac:dyDescent="0.2">
      <c r="A19" s="25" t="s">
        <v>332</v>
      </c>
      <c r="B19" s="26" t="s">
        <v>333</v>
      </c>
      <c r="C19" s="25" t="s">
        <v>630</v>
      </c>
      <c r="D19" s="26"/>
      <c r="E19" s="25" t="s">
        <v>299</v>
      </c>
      <c r="F19" s="38" t="s">
        <v>652</v>
      </c>
      <c r="G19" s="38" t="s">
        <v>652</v>
      </c>
      <c r="H19" s="38" t="s">
        <v>652</v>
      </c>
      <c r="I19" s="38" t="s">
        <v>652</v>
      </c>
      <c r="J19" s="38" t="s">
        <v>652</v>
      </c>
      <c r="K19" s="38" t="s">
        <v>652</v>
      </c>
      <c r="L19" s="38" t="s">
        <v>652</v>
      </c>
      <c r="M19" s="25"/>
      <c r="N19" s="25"/>
      <c r="O19" s="25"/>
      <c r="P19" s="22">
        <f t="shared" si="0"/>
        <v>0</v>
      </c>
      <c r="Q19" s="22">
        <f t="shared" si="1"/>
        <v>7</v>
      </c>
      <c r="R19" s="22">
        <f t="shared" si="2"/>
        <v>7</v>
      </c>
    </row>
    <row r="20" spans="1:18" x14ac:dyDescent="0.2">
      <c r="A20" s="25" t="s">
        <v>334</v>
      </c>
      <c r="B20" s="26" t="s">
        <v>335</v>
      </c>
      <c r="C20" s="25" t="s">
        <v>629</v>
      </c>
      <c r="D20" s="26"/>
      <c r="E20" s="25" t="s">
        <v>299</v>
      </c>
      <c r="F20" s="39" t="s">
        <v>299</v>
      </c>
      <c r="G20" s="25"/>
      <c r="H20" s="25"/>
      <c r="I20" s="25"/>
      <c r="J20" s="25"/>
      <c r="K20" s="25"/>
      <c r="L20" s="25"/>
      <c r="M20" s="25"/>
      <c r="N20" s="25"/>
      <c r="O20" s="25"/>
      <c r="P20" s="22">
        <f t="shared" si="0"/>
        <v>1</v>
      </c>
      <c r="Q20" s="22">
        <f t="shared" si="1"/>
        <v>0</v>
      </c>
      <c r="R20" s="22">
        <f t="shared" si="2"/>
        <v>1</v>
      </c>
    </row>
    <row r="21" spans="1:18" x14ac:dyDescent="0.2">
      <c r="A21" s="25" t="s">
        <v>336</v>
      </c>
      <c r="B21" s="26" t="s">
        <v>337</v>
      </c>
      <c r="C21" s="25" t="s">
        <v>628</v>
      </c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2">
        <f t="shared" si="0"/>
        <v>0</v>
      </c>
      <c r="Q21" s="22">
        <f t="shared" si="1"/>
        <v>0</v>
      </c>
      <c r="R21" s="22">
        <f t="shared" si="2"/>
        <v>0</v>
      </c>
    </row>
    <row r="22" spans="1:18" x14ac:dyDescent="0.2">
      <c r="A22" s="25" t="s">
        <v>338</v>
      </c>
      <c r="B22" s="26" t="s">
        <v>339</v>
      </c>
      <c r="C22" s="25" t="s">
        <v>627</v>
      </c>
      <c r="D22" s="26"/>
      <c r="E22" s="25" t="s">
        <v>299</v>
      </c>
      <c r="F22" s="39" t="s">
        <v>299</v>
      </c>
      <c r="G22" s="25"/>
      <c r="H22" s="25"/>
      <c r="I22" s="39" t="s">
        <v>299</v>
      </c>
      <c r="J22" s="38" t="s">
        <v>652</v>
      </c>
      <c r="K22" s="38" t="s">
        <v>652</v>
      </c>
      <c r="L22" s="25"/>
      <c r="M22" s="25"/>
      <c r="N22" s="25"/>
      <c r="O22" s="25"/>
      <c r="P22" s="22">
        <f t="shared" si="0"/>
        <v>2</v>
      </c>
      <c r="Q22" s="22">
        <f t="shared" si="1"/>
        <v>2</v>
      </c>
      <c r="R22" s="22">
        <f t="shared" si="2"/>
        <v>4</v>
      </c>
    </row>
    <row r="23" spans="1:18" x14ac:dyDescent="0.2">
      <c r="A23" s="25" t="s">
        <v>340</v>
      </c>
      <c r="B23" s="26" t="s">
        <v>341</v>
      </c>
      <c r="C23" s="25" t="s">
        <v>626</v>
      </c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2">
        <f t="shared" si="0"/>
        <v>0</v>
      </c>
      <c r="Q23" s="22">
        <f t="shared" si="1"/>
        <v>0</v>
      </c>
      <c r="R23" s="22">
        <f t="shared" si="2"/>
        <v>0</v>
      </c>
    </row>
    <row r="24" spans="1:18" x14ac:dyDescent="0.2">
      <c r="A24" s="25" t="s">
        <v>342</v>
      </c>
      <c r="B24" s="26" t="s">
        <v>343</v>
      </c>
      <c r="C24" s="25" t="s">
        <v>625</v>
      </c>
      <c r="D24" s="26"/>
      <c r="E24" s="25" t="s">
        <v>299</v>
      </c>
      <c r="F24" s="25"/>
      <c r="G24" s="25"/>
      <c r="H24" s="25"/>
      <c r="I24" s="39" t="s">
        <v>299</v>
      </c>
      <c r="J24" s="25"/>
      <c r="K24" s="25"/>
      <c r="L24" s="25"/>
      <c r="M24" s="25"/>
      <c r="N24" s="25"/>
      <c r="O24" s="25"/>
      <c r="P24" s="22">
        <f t="shared" si="0"/>
        <v>1</v>
      </c>
      <c r="Q24" s="22">
        <f t="shared" si="1"/>
        <v>0</v>
      </c>
      <c r="R24" s="22">
        <f t="shared" si="2"/>
        <v>1</v>
      </c>
    </row>
    <row r="25" spans="1:18" x14ac:dyDescent="0.2">
      <c r="A25" s="25" t="s">
        <v>344</v>
      </c>
      <c r="B25" s="26" t="s">
        <v>345</v>
      </c>
      <c r="C25" s="25" t="s">
        <v>624</v>
      </c>
      <c r="D25" s="26"/>
      <c r="E25" s="25" t="s">
        <v>299</v>
      </c>
      <c r="F25" s="39" t="s">
        <v>299</v>
      </c>
      <c r="G25" s="25"/>
      <c r="H25" s="39" t="s">
        <v>299</v>
      </c>
      <c r="I25" s="38" t="s">
        <v>652</v>
      </c>
      <c r="J25" s="38" t="s">
        <v>652</v>
      </c>
      <c r="K25" s="25"/>
      <c r="L25" s="25"/>
      <c r="M25" s="25"/>
      <c r="N25" s="25"/>
      <c r="O25" s="25"/>
      <c r="P25" s="22">
        <f t="shared" si="0"/>
        <v>2</v>
      </c>
      <c r="Q25" s="22">
        <f t="shared" si="1"/>
        <v>2</v>
      </c>
      <c r="R25" s="22">
        <f t="shared" si="2"/>
        <v>4</v>
      </c>
    </row>
    <row r="26" spans="1:18" x14ac:dyDescent="0.2">
      <c r="A26" s="25" t="s">
        <v>346</v>
      </c>
      <c r="B26" s="26" t="s">
        <v>347</v>
      </c>
      <c r="C26" s="25" t="s">
        <v>623</v>
      </c>
      <c r="D26" s="26"/>
      <c r="E26" s="25" t="s">
        <v>299</v>
      </c>
      <c r="F26" s="39" t="s">
        <v>299</v>
      </c>
      <c r="G26" s="25"/>
      <c r="H26" s="25"/>
      <c r="I26" s="38" t="s">
        <v>652</v>
      </c>
      <c r="J26" s="38" t="s">
        <v>652</v>
      </c>
      <c r="K26" s="25"/>
      <c r="L26" s="25"/>
      <c r="M26" s="25"/>
      <c r="N26" s="25"/>
      <c r="O26" s="25"/>
      <c r="P26" s="22">
        <f t="shared" si="0"/>
        <v>1</v>
      </c>
      <c r="Q26" s="22">
        <f t="shared" si="1"/>
        <v>2</v>
      </c>
      <c r="R26" s="22">
        <f t="shared" si="2"/>
        <v>3</v>
      </c>
    </row>
    <row r="27" spans="1:18" x14ac:dyDescent="0.2">
      <c r="A27" s="25" t="s">
        <v>348</v>
      </c>
      <c r="B27" s="26" t="s">
        <v>349</v>
      </c>
      <c r="C27" s="25" t="s">
        <v>622</v>
      </c>
      <c r="D27" s="26"/>
      <c r="E27" s="25" t="s">
        <v>299</v>
      </c>
      <c r="F27" s="25"/>
      <c r="G27" s="25"/>
      <c r="H27" s="25"/>
      <c r="I27" s="25"/>
      <c r="J27" s="38" t="s">
        <v>652</v>
      </c>
      <c r="K27" s="25"/>
      <c r="L27" s="25"/>
      <c r="M27" s="25"/>
      <c r="N27" s="25"/>
      <c r="O27" s="25"/>
      <c r="P27" s="22">
        <f t="shared" si="0"/>
        <v>0</v>
      </c>
      <c r="Q27" s="22">
        <f t="shared" si="1"/>
        <v>1</v>
      </c>
      <c r="R27" s="22">
        <f t="shared" si="2"/>
        <v>1</v>
      </c>
    </row>
    <row r="28" spans="1:18" x14ac:dyDescent="0.2">
      <c r="A28" s="25" t="s">
        <v>350</v>
      </c>
      <c r="B28" s="26" t="s">
        <v>351</v>
      </c>
      <c r="C28" s="25" t="s">
        <v>621</v>
      </c>
      <c r="D28" s="26"/>
      <c r="E28" s="25" t="s">
        <v>299</v>
      </c>
      <c r="F28" s="39" t="s">
        <v>299</v>
      </c>
      <c r="G28" s="25"/>
      <c r="H28" s="39" t="s">
        <v>299</v>
      </c>
      <c r="I28" s="38" t="s">
        <v>652</v>
      </c>
      <c r="J28" s="38" t="s">
        <v>652</v>
      </c>
      <c r="K28" s="25"/>
      <c r="L28" s="25"/>
      <c r="M28" s="38" t="s">
        <v>652</v>
      </c>
      <c r="N28" s="25"/>
      <c r="O28" s="25"/>
      <c r="P28" s="22">
        <f t="shared" si="0"/>
        <v>2</v>
      </c>
      <c r="Q28" s="22">
        <f t="shared" si="1"/>
        <v>3</v>
      </c>
      <c r="R28" s="22">
        <f t="shared" si="2"/>
        <v>5</v>
      </c>
    </row>
    <row r="29" spans="1:18" x14ac:dyDescent="0.2">
      <c r="A29" s="25" t="s">
        <v>352</v>
      </c>
      <c r="B29" s="26" t="s">
        <v>353</v>
      </c>
      <c r="C29" s="25" t="s">
        <v>620</v>
      </c>
      <c r="D29" s="26"/>
      <c r="E29" s="25" t="s">
        <v>299</v>
      </c>
      <c r="F29" s="25"/>
      <c r="G29" s="25"/>
      <c r="H29" s="25"/>
      <c r="I29" s="25"/>
      <c r="J29" s="38" t="s">
        <v>652</v>
      </c>
      <c r="K29" s="25"/>
      <c r="L29" s="25"/>
      <c r="M29" s="25"/>
      <c r="N29" s="25"/>
      <c r="O29" s="25"/>
      <c r="P29" s="22">
        <f t="shared" si="0"/>
        <v>0</v>
      </c>
      <c r="Q29" s="22">
        <f t="shared" si="1"/>
        <v>1</v>
      </c>
      <c r="R29" s="22">
        <f t="shared" si="2"/>
        <v>1</v>
      </c>
    </row>
    <row r="30" spans="1:18" x14ac:dyDescent="0.2">
      <c r="A30" s="25" t="s">
        <v>354</v>
      </c>
      <c r="B30" s="26" t="s">
        <v>355</v>
      </c>
      <c r="C30" s="25" t="s">
        <v>619</v>
      </c>
      <c r="D30" s="26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2">
        <f t="shared" si="0"/>
        <v>0</v>
      </c>
      <c r="Q30" s="22">
        <f t="shared" si="1"/>
        <v>0</v>
      </c>
      <c r="R30" s="22">
        <f t="shared" si="2"/>
        <v>0</v>
      </c>
    </row>
    <row r="31" spans="1:18" x14ac:dyDescent="0.2">
      <c r="A31" s="25" t="s">
        <v>356</v>
      </c>
      <c r="B31" s="26" t="s">
        <v>357</v>
      </c>
      <c r="C31" s="25" t="s">
        <v>618</v>
      </c>
      <c r="D31" s="26"/>
      <c r="E31" s="25" t="s">
        <v>299</v>
      </c>
      <c r="F31" s="39" t="s">
        <v>299</v>
      </c>
      <c r="G31" s="25"/>
      <c r="H31" s="25"/>
      <c r="I31" s="39" t="s">
        <v>299</v>
      </c>
      <c r="J31" s="39" t="s">
        <v>299</v>
      </c>
      <c r="K31" s="38" t="s">
        <v>652</v>
      </c>
      <c r="L31" s="25"/>
      <c r="M31" s="25"/>
      <c r="N31" s="25"/>
      <c r="O31" s="25"/>
      <c r="P31" s="22">
        <f t="shared" si="0"/>
        <v>3</v>
      </c>
      <c r="Q31" s="22">
        <f t="shared" si="1"/>
        <v>1</v>
      </c>
      <c r="R31" s="22">
        <f t="shared" si="2"/>
        <v>4</v>
      </c>
    </row>
    <row r="32" spans="1:18" x14ac:dyDescent="0.2">
      <c r="A32" s="25" t="s">
        <v>358</v>
      </c>
      <c r="B32" s="26" t="s">
        <v>359</v>
      </c>
      <c r="C32" s="25" t="s">
        <v>617</v>
      </c>
      <c r="D32" s="26"/>
      <c r="E32" s="25" t="s">
        <v>299</v>
      </c>
      <c r="F32" s="38" t="s">
        <v>652</v>
      </c>
      <c r="G32" s="25"/>
      <c r="H32" s="25"/>
      <c r="I32" s="38" t="s">
        <v>652</v>
      </c>
      <c r="J32" s="38" t="s">
        <v>652</v>
      </c>
      <c r="K32" s="25"/>
      <c r="L32" s="25"/>
      <c r="M32" s="25"/>
      <c r="N32" s="25"/>
      <c r="O32" s="25"/>
      <c r="P32" s="22">
        <f t="shared" si="0"/>
        <v>0</v>
      </c>
      <c r="Q32" s="22">
        <f t="shared" si="1"/>
        <v>3</v>
      </c>
      <c r="R32" s="22">
        <f t="shared" si="2"/>
        <v>3</v>
      </c>
    </row>
    <row r="33" spans="1:18" x14ac:dyDescent="0.2">
      <c r="A33" s="25" t="s">
        <v>360</v>
      </c>
      <c r="B33" s="26" t="s">
        <v>361</v>
      </c>
      <c r="C33" s="25" t="s">
        <v>616</v>
      </c>
      <c r="D33" s="26"/>
      <c r="E33" s="25" t="s">
        <v>299</v>
      </c>
      <c r="F33" s="39" t="s">
        <v>299</v>
      </c>
      <c r="G33" s="25"/>
      <c r="H33" s="25"/>
      <c r="I33" s="39" t="s">
        <v>299</v>
      </c>
      <c r="J33" s="39" t="s">
        <v>299</v>
      </c>
      <c r="K33" s="25"/>
      <c r="L33" s="25"/>
      <c r="M33" s="25"/>
      <c r="N33" s="25"/>
      <c r="O33" s="25"/>
      <c r="P33" s="22">
        <f t="shared" si="0"/>
        <v>3</v>
      </c>
      <c r="Q33" s="22">
        <f t="shared" si="1"/>
        <v>0</v>
      </c>
      <c r="R33" s="22">
        <f t="shared" si="2"/>
        <v>3</v>
      </c>
    </row>
    <row r="34" spans="1:18" x14ac:dyDescent="0.2">
      <c r="A34" s="25" t="s">
        <v>362</v>
      </c>
      <c r="B34" s="26" t="s">
        <v>363</v>
      </c>
      <c r="C34" s="25" t="s">
        <v>615</v>
      </c>
      <c r="D34" s="26"/>
      <c r="E34" s="25" t="s">
        <v>299</v>
      </c>
      <c r="F34" s="39" t="s">
        <v>299</v>
      </c>
      <c r="G34" s="38" t="s">
        <v>652</v>
      </c>
      <c r="H34" s="39" t="s">
        <v>299</v>
      </c>
      <c r="I34" s="39" t="s">
        <v>299</v>
      </c>
      <c r="J34" s="38" t="s">
        <v>652</v>
      </c>
      <c r="K34" s="25"/>
      <c r="L34" s="38" t="s">
        <v>652</v>
      </c>
      <c r="M34" s="25"/>
      <c r="N34" s="25"/>
      <c r="O34" s="25"/>
      <c r="P34" s="22">
        <f t="shared" si="0"/>
        <v>3</v>
      </c>
      <c r="Q34" s="22">
        <f t="shared" si="1"/>
        <v>3</v>
      </c>
      <c r="R34" s="22">
        <f t="shared" si="2"/>
        <v>6</v>
      </c>
    </row>
    <row r="35" spans="1:18" x14ac:dyDescent="0.2">
      <c r="A35" s="25" t="s">
        <v>364</v>
      </c>
      <c r="B35" s="26" t="s">
        <v>365</v>
      </c>
      <c r="C35" s="25" t="s">
        <v>614</v>
      </c>
      <c r="D35" s="26"/>
      <c r="E35" s="25" t="s">
        <v>299</v>
      </c>
      <c r="F35" s="25"/>
      <c r="G35" s="25"/>
      <c r="H35" s="25"/>
      <c r="I35" s="25"/>
      <c r="J35" s="38" t="s">
        <v>652</v>
      </c>
      <c r="K35" s="25"/>
      <c r="L35" s="25"/>
      <c r="M35" s="25"/>
      <c r="N35" s="25"/>
      <c r="O35" s="25"/>
      <c r="P35" s="22">
        <f t="shared" si="0"/>
        <v>0</v>
      </c>
      <c r="Q35" s="22">
        <f t="shared" si="1"/>
        <v>1</v>
      </c>
      <c r="R35" s="22">
        <f t="shared" si="2"/>
        <v>1</v>
      </c>
    </row>
    <row r="36" spans="1:18" x14ac:dyDescent="0.2">
      <c r="A36" s="25" t="s">
        <v>366</v>
      </c>
      <c r="B36" s="26" t="s">
        <v>367</v>
      </c>
      <c r="C36" s="25" t="s">
        <v>613</v>
      </c>
      <c r="D36" s="26"/>
      <c r="E36" s="25" t="s">
        <v>299</v>
      </c>
      <c r="F36" s="38" t="s">
        <v>652</v>
      </c>
      <c r="G36" s="38" t="s">
        <v>652</v>
      </c>
      <c r="H36" s="25"/>
      <c r="I36" s="38" t="s">
        <v>652</v>
      </c>
      <c r="J36" s="38" t="s">
        <v>652</v>
      </c>
      <c r="K36" s="25"/>
      <c r="L36" s="38" t="s">
        <v>652</v>
      </c>
      <c r="M36" s="25"/>
      <c r="N36" s="25"/>
      <c r="O36" s="25"/>
      <c r="P36" s="22">
        <f t="shared" si="0"/>
        <v>0</v>
      </c>
      <c r="Q36" s="22">
        <f t="shared" si="1"/>
        <v>5</v>
      </c>
      <c r="R36" s="22">
        <f t="shared" si="2"/>
        <v>5</v>
      </c>
    </row>
    <row r="37" spans="1:18" x14ac:dyDescent="0.2">
      <c r="A37" s="25" t="s">
        <v>368</v>
      </c>
      <c r="B37" s="26" t="s">
        <v>369</v>
      </c>
      <c r="C37" s="25" t="s">
        <v>612</v>
      </c>
      <c r="D37" s="2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2">
        <f t="shared" si="0"/>
        <v>0</v>
      </c>
      <c r="Q37" s="22">
        <f t="shared" si="1"/>
        <v>0</v>
      </c>
      <c r="R37" s="22">
        <f t="shared" si="2"/>
        <v>0</v>
      </c>
    </row>
    <row r="38" spans="1:18" x14ac:dyDescent="0.2">
      <c r="A38" s="25" t="s">
        <v>370</v>
      </c>
      <c r="B38" s="26" t="s">
        <v>371</v>
      </c>
      <c r="C38" s="25" t="s">
        <v>611</v>
      </c>
      <c r="D38" s="26"/>
      <c r="E38" s="25" t="s">
        <v>299</v>
      </c>
      <c r="F38" s="39" t="s">
        <v>299</v>
      </c>
      <c r="G38" s="38" t="s">
        <v>652</v>
      </c>
      <c r="H38" s="39" t="s">
        <v>299</v>
      </c>
      <c r="I38" s="39" t="s">
        <v>299</v>
      </c>
      <c r="J38" s="38" t="s">
        <v>652</v>
      </c>
      <c r="K38" s="25"/>
      <c r="L38" s="25"/>
      <c r="M38" s="25"/>
      <c r="N38" s="25"/>
      <c r="O38" s="25"/>
      <c r="P38" s="22">
        <f t="shared" si="0"/>
        <v>3</v>
      </c>
      <c r="Q38" s="22">
        <f t="shared" si="1"/>
        <v>2</v>
      </c>
      <c r="R38" s="22">
        <f t="shared" si="2"/>
        <v>5</v>
      </c>
    </row>
    <row r="39" spans="1:18" x14ac:dyDescent="0.2">
      <c r="A39" s="25" t="s">
        <v>372</v>
      </c>
      <c r="B39" s="26" t="s">
        <v>37</v>
      </c>
      <c r="C39" s="25" t="s">
        <v>610</v>
      </c>
      <c r="D39" s="26"/>
      <c r="E39" s="25" t="s">
        <v>299</v>
      </c>
      <c r="F39" s="38" t="s">
        <v>652</v>
      </c>
      <c r="G39" s="25"/>
      <c r="H39" s="25"/>
      <c r="I39" s="25"/>
      <c r="J39" s="25"/>
      <c r="K39" s="25"/>
      <c r="L39" s="25"/>
      <c r="M39" s="25"/>
      <c r="N39" s="25"/>
      <c r="O39" s="25"/>
      <c r="P39" s="22">
        <f t="shared" si="0"/>
        <v>0</v>
      </c>
      <c r="Q39" s="22">
        <f t="shared" si="1"/>
        <v>1</v>
      </c>
      <c r="R39" s="22">
        <f t="shared" si="2"/>
        <v>1</v>
      </c>
    </row>
    <row r="40" spans="1:18" x14ac:dyDescent="0.2">
      <c r="A40" s="25" t="s">
        <v>373</v>
      </c>
      <c r="B40" s="26" t="s">
        <v>374</v>
      </c>
      <c r="C40" s="25" t="s">
        <v>609</v>
      </c>
      <c r="D40" s="26"/>
      <c r="E40" s="25" t="s">
        <v>299</v>
      </c>
      <c r="F40" s="38" t="s">
        <v>652</v>
      </c>
      <c r="G40" s="25"/>
      <c r="H40" s="38" t="s">
        <v>652</v>
      </c>
      <c r="I40" s="38" t="s">
        <v>652</v>
      </c>
      <c r="J40" s="38" t="s">
        <v>652</v>
      </c>
      <c r="K40" s="25"/>
      <c r="L40" s="38" t="s">
        <v>652</v>
      </c>
      <c r="M40" s="38" t="s">
        <v>652</v>
      </c>
      <c r="N40" s="38" t="s">
        <v>652</v>
      </c>
      <c r="O40" s="25"/>
      <c r="P40" s="22">
        <f t="shared" si="0"/>
        <v>0</v>
      </c>
      <c r="Q40" s="22">
        <f t="shared" si="1"/>
        <v>7</v>
      </c>
      <c r="R40" s="22">
        <f t="shared" si="2"/>
        <v>7</v>
      </c>
    </row>
    <row r="41" spans="1:18" x14ac:dyDescent="0.2">
      <c r="A41" s="25" t="s">
        <v>375</v>
      </c>
      <c r="B41" s="26" t="s">
        <v>376</v>
      </c>
      <c r="C41" s="25" t="s">
        <v>608</v>
      </c>
      <c r="D41" s="26"/>
      <c r="E41" s="25" t="s">
        <v>299</v>
      </c>
      <c r="F41" s="39" t="s">
        <v>299</v>
      </c>
      <c r="G41" s="25"/>
      <c r="H41" s="25"/>
      <c r="I41" s="25"/>
      <c r="J41" s="38" t="s">
        <v>652</v>
      </c>
      <c r="K41" s="38" t="s">
        <v>652</v>
      </c>
      <c r="L41" s="25"/>
      <c r="M41" s="25"/>
      <c r="N41" s="25"/>
      <c r="O41" s="25"/>
      <c r="P41" s="22">
        <f t="shared" si="0"/>
        <v>1</v>
      </c>
      <c r="Q41" s="22">
        <f t="shared" si="1"/>
        <v>2</v>
      </c>
      <c r="R41" s="22">
        <f t="shared" si="2"/>
        <v>3</v>
      </c>
    </row>
    <row r="42" spans="1:18" x14ac:dyDescent="0.2">
      <c r="A42" s="25" t="s">
        <v>377</v>
      </c>
      <c r="B42" s="26" t="s">
        <v>378</v>
      </c>
      <c r="C42" s="25" t="s">
        <v>607</v>
      </c>
      <c r="D42" s="26"/>
      <c r="E42" s="25" t="s">
        <v>299</v>
      </c>
      <c r="F42" s="39" t="s">
        <v>299</v>
      </c>
      <c r="G42" s="25"/>
      <c r="H42" s="25"/>
      <c r="I42" s="39" t="s">
        <v>299</v>
      </c>
      <c r="J42" s="38" t="s">
        <v>652</v>
      </c>
      <c r="K42" s="25"/>
      <c r="L42" s="25"/>
      <c r="M42" s="25"/>
      <c r="N42" s="25"/>
      <c r="O42" s="25"/>
      <c r="P42" s="22">
        <f t="shared" si="0"/>
        <v>2</v>
      </c>
      <c r="Q42" s="22">
        <f t="shared" si="1"/>
        <v>1</v>
      </c>
      <c r="R42" s="22">
        <f t="shared" si="2"/>
        <v>3</v>
      </c>
    </row>
    <row r="43" spans="1:18" x14ac:dyDescent="0.2">
      <c r="A43" s="25" t="s">
        <v>379</v>
      </c>
      <c r="B43" s="26" t="s">
        <v>380</v>
      </c>
      <c r="C43" s="25" t="s">
        <v>606</v>
      </c>
      <c r="D43" s="26"/>
      <c r="E43" s="25" t="s">
        <v>299</v>
      </c>
      <c r="F43" s="25"/>
      <c r="G43" s="25"/>
      <c r="H43" s="25"/>
      <c r="I43" s="38" t="s">
        <v>652</v>
      </c>
      <c r="J43" s="38" t="s">
        <v>652</v>
      </c>
      <c r="K43" s="25"/>
      <c r="L43" s="25"/>
      <c r="M43" s="25"/>
      <c r="N43" s="25"/>
      <c r="O43" s="25"/>
      <c r="P43" s="22">
        <f t="shared" si="0"/>
        <v>0</v>
      </c>
      <c r="Q43" s="22">
        <f t="shared" si="1"/>
        <v>2</v>
      </c>
      <c r="R43" s="22">
        <f t="shared" si="2"/>
        <v>2</v>
      </c>
    </row>
    <row r="44" spans="1:18" x14ac:dyDescent="0.2">
      <c r="A44" s="25" t="s">
        <v>381</v>
      </c>
      <c r="B44" s="26" t="s">
        <v>382</v>
      </c>
      <c r="C44" s="25" t="s">
        <v>605</v>
      </c>
      <c r="D44" s="26"/>
      <c r="E44" s="25" t="s">
        <v>299</v>
      </c>
      <c r="F44" s="39" t="s">
        <v>299</v>
      </c>
      <c r="G44" s="25"/>
      <c r="H44" s="25"/>
      <c r="I44" s="39" t="s">
        <v>299</v>
      </c>
      <c r="J44" s="38" t="s">
        <v>652</v>
      </c>
      <c r="K44" s="39" t="s">
        <v>299</v>
      </c>
      <c r="L44" s="25"/>
      <c r="M44" s="25"/>
      <c r="N44" s="38" t="s">
        <v>652</v>
      </c>
      <c r="O44" s="25"/>
      <c r="P44" s="22">
        <f t="shared" si="0"/>
        <v>3</v>
      </c>
      <c r="Q44" s="22">
        <f t="shared" si="1"/>
        <v>2</v>
      </c>
      <c r="R44" s="22">
        <f t="shared" si="2"/>
        <v>5</v>
      </c>
    </row>
    <row r="45" spans="1:18" x14ac:dyDescent="0.2">
      <c r="A45" s="25" t="s">
        <v>383</v>
      </c>
      <c r="B45" s="26" t="s">
        <v>384</v>
      </c>
      <c r="C45" s="25" t="s">
        <v>604</v>
      </c>
      <c r="D45" s="26"/>
      <c r="E45" s="25" t="s">
        <v>299</v>
      </c>
      <c r="F45" s="39" t="s">
        <v>299</v>
      </c>
      <c r="G45" s="25"/>
      <c r="H45" s="25"/>
      <c r="I45" s="39" t="s">
        <v>299</v>
      </c>
      <c r="J45" s="39" t="s">
        <v>299</v>
      </c>
      <c r="K45" s="25"/>
      <c r="L45" s="25"/>
      <c r="M45" s="25"/>
      <c r="N45" s="25"/>
      <c r="O45" s="25"/>
      <c r="P45" s="22">
        <f t="shared" si="0"/>
        <v>3</v>
      </c>
      <c r="Q45" s="22">
        <f t="shared" si="1"/>
        <v>0</v>
      </c>
      <c r="R45" s="22">
        <f t="shared" si="2"/>
        <v>3</v>
      </c>
    </row>
    <row r="46" spans="1:18" x14ac:dyDescent="0.2">
      <c r="A46" s="25" t="s">
        <v>385</v>
      </c>
      <c r="B46" s="26" t="s">
        <v>386</v>
      </c>
      <c r="C46" s="25" t="s">
        <v>603</v>
      </c>
      <c r="D46" s="26"/>
      <c r="E46" s="25" t="s">
        <v>299</v>
      </c>
      <c r="F46" s="39" t="s">
        <v>299</v>
      </c>
      <c r="G46" s="25"/>
      <c r="H46" s="25"/>
      <c r="I46" s="39" t="s">
        <v>299</v>
      </c>
      <c r="J46" s="39" t="s">
        <v>299</v>
      </c>
      <c r="K46" s="25"/>
      <c r="L46" s="25"/>
      <c r="M46" s="25"/>
      <c r="N46" s="25"/>
      <c r="O46" s="25"/>
      <c r="P46" s="22">
        <f t="shared" si="0"/>
        <v>3</v>
      </c>
      <c r="Q46" s="22">
        <f t="shared" si="1"/>
        <v>0</v>
      </c>
      <c r="R46" s="22">
        <f t="shared" si="2"/>
        <v>3</v>
      </c>
    </row>
    <row r="47" spans="1:18" x14ac:dyDescent="0.2">
      <c r="A47" s="25" t="s">
        <v>387</v>
      </c>
      <c r="B47" s="26" t="s">
        <v>388</v>
      </c>
      <c r="C47" s="25" t="s">
        <v>602</v>
      </c>
      <c r="D47" s="26"/>
      <c r="E47" s="25" t="s">
        <v>299</v>
      </c>
      <c r="F47" s="38" t="s">
        <v>652</v>
      </c>
      <c r="G47" s="25"/>
      <c r="H47" s="25"/>
      <c r="I47" s="38" t="s">
        <v>652</v>
      </c>
      <c r="J47" s="38" t="s">
        <v>652</v>
      </c>
      <c r="K47" s="25"/>
      <c r="L47" s="25"/>
      <c r="M47" s="25"/>
      <c r="N47" s="25"/>
      <c r="O47" s="25"/>
      <c r="P47" s="22">
        <f t="shared" si="0"/>
        <v>0</v>
      </c>
      <c r="Q47" s="22">
        <f t="shared" si="1"/>
        <v>3</v>
      </c>
      <c r="R47" s="22">
        <f t="shared" si="2"/>
        <v>3</v>
      </c>
    </row>
    <row r="48" spans="1:18" x14ac:dyDescent="0.2">
      <c r="A48" s="25" t="s">
        <v>389</v>
      </c>
      <c r="B48" s="26" t="s">
        <v>390</v>
      </c>
      <c r="C48" s="25" t="s">
        <v>601</v>
      </c>
      <c r="D48" s="26"/>
      <c r="E48" s="25" t="s">
        <v>299</v>
      </c>
      <c r="F48" s="38" t="s">
        <v>652</v>
      </c>
      <c r="G48" s="25"/>
      <c r="H48" s="25"/>
      <c r="I48" s="38" t="s">
        <v>652</v>
      </c>
      <c r="J48" s="38" t="s">
        <v>652</v>
      </c>
      <c r="K48" s="25"/>
      <c r="L48" s="25"/>
      <c r="M48" s="25"/>
      <c r="N48" s="25"/>
      <c r="O48" s="25"/>
      <c r="P48" s="22">
        <f t="shared" si="0"/>
        <v>0</v>
      </c>
      <c r="Q48" s="22">
        <f t="shared" si="1"/>
        <v>3</v>
      </c>
      <c r="R48" s="22">
        <f t="shared" si="2"/>
        <v>3</v>
      </c>
    </row>
    <row r="49" spans="1:18" x14ac:dyDescent="0.2">
      <c r="A49" s="25" t="s">
        <v>391</v>
      </c>
      <c r="B49" s="26" t="s">
        <v>392</v>
      </c>
      <c r="C49" s="25" t="s">
        <v>600</v>
      </c>
      <c r="D49" s="26"/>
      <c r="E49" s="25" t="s">
        <v>299</v>
      </c>
      <c r="F49" s="39" t="s">
        <v>299</v>
      </c>
      <c r="G49" s="25"/>
      <c r="H49" s="25"/>
      <c r="I49" s="39" t="s">
        <v>299</v>
      </c>
      <c r="J49" s="38" t="s">
        <v>652</v>
      </c>
      <c r="K49" s="25"/>
      <c r="L49" s="25"/>
      <c r="M49" s="25"/>
      <c r="N49" s="25"/>
      <c r="O49" s="25"/>
      <c r="P49" s="22">
        <f t="shared" si="0"/>
        <v>2</v>
      </c>
      <c r="Q49" s="22">
        <f t="shared" si="1"/>
        <v>1</v>
      </c>
      <c r="R49" s="22">
        <f t="shared" si="2"/>
        <v>3</v>
      </c>
    </row>
    <row r="50" spans="1:18" x14ac:dyDescent="0.2">
      <c r="A50" s="25" t="s">
        <v>393</v>
      </c>
      <c r="B50" s="26" t="s">
        <v>394</v>
      </c>
      <c r="C50" s="25" t="s">
        <v>599</v>
      </c>
      <c r="D50" s="26"/>
      <c r="E50" s="25" t="s">
        <v>299</v>
      </c>
      <c r="F50" s="39" t="s">
        <v>299</v>
      </c>
      <c r="G50" s="25"/>
      <c r="H50" s="39" t="s">
        <v>299</v>
      </c>
      <c r="I50" s="25"/>
      <c r="J50" s="25"/>
      <c r="K50" s="25"/>
      <c r="L50" s="25"/>
      <c r="M50" s="25"/>
      <c r="N50" s="25"/>
      <c r="O50" s="25"/>
      <c r="P50" s="22">
        <f t="shared" si="0"/>
        <v>2</v>
      </c>
      <c r="Q50" s="22">
        <f t="shared" si="1"/>
        <v>0</v>
      </c>
      <c r="R50" s="22">
        <f t="shared" si="2"/>
        <v>2</v>
      </c>
    </row>
    <row r="51" spans="1:18" x14ac:dyDescent="0.2">
      <c r="A51" s="25" t="s">
        <v>395</v>
      </c>
      <c r="B51" s="26" t="s">
        <v>303</v>
      </c>
      <c r="C51" s="25" t="s">
        <v>598</v>
      </c>
      <c r="D51" s="26"/>
      <c r="E51" s="25" t="s">
        <v>299</v>
      </c>
      <c r="F51" s="39" t="s">
        <v>299</v>
      </c>
      <c r="G51" s="38" t="s">
        <v>652</v>
      </c>
      <c r="H51" s="39" t="s">
        <v>299</v>
      </c>
      <c r="I51" s="38" t="s">
        <v>652</v>
      </c>
      <c r="J51" s="38" t="s">
        <v>652</v>
      </c>
      <c r="K51" s="25"/>
      <c r="L51" s="25"/>
      <c r="M51" s="25"/>
      <c r="N51" s="38" t="s">
        <v>652</v>
      </c>
      <c r="O51" s="25"/>
      <c r="P51" s="22">
        <f t="shared" si="0"/>
        <v>2</v>
      </c>
      <c r="Q51" s="22">
        <f t="shared" si="1"/>
        <v>4</v>
      </c>
      <c r="R51" s="22">
        <f t="shared" si="2"/>
        <v>6</v>
      </c>
    </row>
    <row r="52" spans="1:18" x14ac:dyDescent="0.2">
      <c r="A52" s="25" t="s">
        <v>396</v>
      </c>
      <c r="B52" s="26" t="s">
        <v>397</v>
      </c>
      <c r="C52" s="25" t="s">
        <v>597</v>
      </c>
      <c r="D52" s="26"/>
      <c r="E52" s="25" t="s">
        <v>299</v>
      </c>
      <c r="F52" s="25"/>
      <c r="G52" s="25"/>
      <c r="H52" s="25"/>
      <c r="I52" s="39" t="s">
        <v>299</v>
      </c>
      <c r="J52" s="38" t="s">
        <v>652</v>
      </c>
      <c r="K52" s="25"/>
      <c r="L52" s="25"/>
      <c r="M52" s="25"/>
      <c r="N52" s="25"/>
      <c r="O52" s="25"/>
      <c r="P52" s="22">
        <f t="shared" si="0"/>
        <v>1</v>
      </c>
      <c r="Q52" s="22">
        <f t="shared" si="1"/>
        <v>1</v>
      </c>
      <c r="R52" s="22">
        <f t="shared" si="2"/>
        <v>2</v>
      </c>
    </row>
    <row r="53" spans="1:18" x14ac:dyDescent="0.2">
      <c r="A53" s="25" t="s">
        <v>398</v>
      </c>
      <c r="B53" s="26" t="s">
        <v>399</v>
      </c>
      <c r="C53" s="25" t="s">
        <v>596</v>
      </c>
      <c r="D53" s="26"/>
      <c r="E53" s="25" t="s">
        <v>299</v>
      </c>
      <c r="F53" s="39" t="s">
        <v>299</v>
      </c>
      <c r="G53" s="25"/>
      <c r="H53" s="25"/>
      <c r="I53" s="25"/>
      <c r="J53" s="25"/>
      <c r="K53" s="25"/>
      <c r="L53" s="25"/>
      <c r="M53" s="25"/>
      <c r="N53" s="25"/>
      <c r="O53" s="25"/>
      <c r="P53" s="22">
        <f t="shared" si="0"/>
        <v>1</v>
      </c>
      <c r="Q53" s="22">
        <f t="shared" si="1"/>
        <v>0</v>
      </c>
      <c r="R53" s="22">
        <f t="shared" si="2"/>
        <v>1</v>
      </c>
    </row>
    <row r="54" spans="1:18" x14ac:dyDescent="0.2">
      <c r="A54" s="25" t="s">
        <v>400</v>
      </c>
      <c r="B54" s="26" t="s">
        <v>401</v>
      </c>
      <c r="C54" s="25" t="s">
        <v>595</v>
      </c>
      <c r="D54" s="26"/>
      <c r="E54" s="25" t="s">
        <v>299</v>
      </c>
      <c r="F54" s="39" t="s">
        <v>299</v>
      </c>
      <c r="G54" s="25"/>
      <c r="H54" s="25"/>
      <c r="I54" s="39" t="s">
        <v>299</v>
      </c>
      <c r="J54" s="38" t="s">
        <v>652</v>
      </c>
      <c r="K54" s="25"/>
      <c r="L54" s="25"/>
      <c r="M54" s="25"/>
      <c r="N54" s="25"/>
      <c r="O54" s="25"/>
      <c r="P54" s="22">
        <f t="shared" si="0"/>
        <v>2</v>
      </c>
      <c r="Q54" s="22">
        <f t="shared" si="1"/>
        <v>1</v>
      </c>
      <c r="R54" s="22">
        <f t="shared" si="2"/>
        <v>3</v>
      </c>
    </row>
    <row r="55" spans="1:18" x14ac:dyDescent="0.2">
      <c r="A55" s="25" t="s">
        <v>402</v>
      </c>
      <c r="B55" s="26" t="s">
        <v>403</v>
      </c>
      <c r="C55" s="25" t="s">
        <v>594</v>
      </c>
      <c r="D55" s="26"/>
      <c r="E55" s="25" t="s">
        <v>299</v>
      </c>
      <c r="F55" s="25"/>
      <c r="G55" s="25"/>
      <c r="H55" s="25"/>
      <c r="I55" s="25"/>
      <c r="J55" s="39" t="s">
        <v>299</v>
      </c>
      <c r="K55" s="38" t="s">
        <v>652</v>
      </c>
      <c r="L55" s="25"/>
      <c r="M55" s="25"/>
      <c r="N55" s="25"/>
      <c r="O55" s="25"/>
      <c r="P55" s="22">
        <f t="shared" si="0"/>
        <v>1</v>
      </c>
      <c r="Q55" s="22">
        <f t="shared" si="1"/>
        <v>1</v>
      </c>
      <c r="R55" s="22">
        <f t="shared" si="2"/>
        <v>2</v>
      </c>
    </row>
    <row r="56" spans="1:18" x14ac:dyDescent="0.2">
      <c r="A56" s="25" t="s">
        <v>404</v>
      </c>
      <c r="B56" s="26" t="s">
        <v>405</v>
      </c>
      <c r="C56" s="25" t="s">
        <v>593</v>
      </c>
      <c r="D56" s="26"/>
      <c r="E56" s="25" t="s">
        <v>299</v>
      </c>
      <c r="F56" s="39" t="s">
        <v>299</v>
      </c>
      <c r="G56" s="25"/>
      <c r="H56" s="38" t="s">
        <v>652</v>
      </c>
      <c r="I56" s="38" t="s">
        <v>652</v>
      </c>
      <c r="J56" s="38" t="s">
        <v>652</v>
      </c>
      <c r="K56" s="25"/>
      <c r="L56" s="38" t="s">
        <v>652</v>
      </c>
      <c r="M56" s="25"/>
      <c r="N56" s="38" t="s">
        <v>652</v>
      </c>
      <c r="O56" s="25"/>
      <c r="P56" s="22">
        <f t="shared" si="0"/>
        <v>1</v>
      </c>
      <c r="Q56" s="22">
        <f t="shared" si="1"/>
        <v>5</v>
      </c>
      <c r="R56" s="22">
        <f t="shared" si="2"/>
        <v>6</v>
      </c>
    </row>
    <row r="57" spans="1:18" x14ac:dyDescent="0.2">
      <c r="A57" s="25" t="s">
        <v>406</v>
      </c>
      <c r="B57" s="26" t="s">
        <v>298</v>
      </c>
      <c r="C57" s="25" t="s">
        <v>592</v>
      </c>
      <c r="D57" s="26"/>
      <c r="E57" s="25" t="s">
        <v>299</v>
      </c>
      <c r="F57" s="25"/>
      <c r="G57" s="25"/>
      <c r="H57" s="25"/>
      <c r="I57" s="38" t="s">
        <v>652</v>
      </c>
      <c r="J57" s="38" t="s">
        <v>652</v>
      </c>
      <c r="K57" s="25"/>
      <c r="L57" s="25"/>
      <c r="M57" s="25"/>
      <c r="N57" s="25"/>
      <c r="O57" s="25"/>
      <c r="P57" s="22">
        <f t="shared" si="0"/>
        <v>0</v>
      </c>
      <c r="Q57" s="22">
        <f t="shared" si="1"/>
        <v>2</v>
      </c>
      <c r="R57" s="22">
        <f t="shared" si="2"/>
        <v>2</v>
      </c>
    </row>
    <row r="58" spans="1:18" x14ac:dyDescent="0.2">
      <c r="A58" s="25" t="s">
        <v>407</v>
      </c>
      <c r="B58" s="26" t="s">
        <v>408</v>
      </c>
      <c r="C58" s="25" t="s">
        <v>591</v>
      </c>
      <c r="D58" s="26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2">
        <f t="shared" si="0"/>
        <v>0</v>
      </c>
      <c r="Q58" s="22">
        <f t="shared" si="1"/>
        <v>0</v>
      </c>
      <c r="R58" s="22">
        <f t="shared" si="2"/>
        <v>0</v>
      </c>
    </row>
    <row r="59" spans="1:18" x14ac:dyDescent="0.2">
      <c r="A59" s="25" t="s">
        <v>409</v>
      </c>
      <c r="B59" s="26" t="s">
        <v>410</v>
      </c>
      <c r="C59" s="25" t="s">
        <v>590</v>
      </c>
      <c r="D59" s="26"/>
      <c r="E59" s="25" t="s">
        <v>299</v>
      </c>
      <c r="F59" s="38" t="s">
        <v>652</v>
      </c>
      <c r="G59" s="25"/>
      <c r="H59" s="25"/>
      <c r="I59" s="25"/>
      <c r="J59" s="38" t="s">
        <v>652</v>
      </c>
      <c r="K59" s="25"/>
      <c r="L59" s="25"/>
      <c r="M59" s="25"/>
      <c r="N59" s="25"/>
      <c r="O59" s="25"/>
      <c r="P59" s="22">
        <f t="shared" si="0"/>
        <v>0</v>
      </c>
      <c r="Q59" s="22">
        <f t="shared" si="1"/>
        <v>2</v>
      </c>
      <c r="R59" s="22">
        <f t="shared" si="2"/>
        <v>2</v>
      </c>
    </row>
    <row r="60" spans="1:18" x14ac:dyDescent="0.2">
      <c r="A60" s="25" t="s">
        <v>411</v>
      </c>
      <c r="B60" s="26" t="s">
        <v>412</v>
      </c>
      <c r="C60" s="25" t="s">
        <v>589</v>
      </c>
      <c r="D60" s="26"/>
      <c r="E60" s="25" t="s">
        <v>299</v>
      </c>
      <c r="F60" s="39" t="s">
        <v>299</v>
      </c>
      <c r="G60" s="25"/>
      <c r="H60" s="25"/>
      <c r="I60" s="25"/>
      <c r="J60" s="25"/>
      <c r="K60" s="25"/>
      <c r="L60" s="25"/>
      <c r="M60" s="25"/>
      <c r="N60" s="25"/>
      <c r="O60" s="25"/>
      <c r="P60" s="22">
        <f t="shared" si="0"/>
        <v>1</v>
      </c>
      <c r="Q60" s="22">
        <f t="shared" si="1"/>
        <v>0</v>
      </c>
      <c r="R60" s="22">
        <f t="shared" si="2"/>
        <v>1</v>
      </c>
    </row>
    <row r="61" spans="1:18" x14ac:dyDescent="0.2">
      <c r="A61" s="25" t="s">
        <v>413</v>
      </c>
      <c r="B61" s="26" t="s">
        <v>414</v>
      </c>
      <c r="C61" s="25" t="s">
        <v>588</v>
      </c>
      <c r="D61" s="26"/>
      <c r="E61" s="25" t="s">
        <v>299</v>
      </c>
      <c r="F61" s="38" t="s">
        <v>652</v>
      </c>
      <c r="G61" s="25"/>
      <c r="H61" s="25"/>
      <c r="I61" s="38" t="s">
        <v>652</v>
      </c>
      <c r="J61" s="38" t="s">
        <v>652</v>
      </c>
      <c r="K61" s="25"/>
      <c r="L61" s="25"/>
      <c r="M61" s="25"/>
      <c r="N61" s="25"/>
      <c r="O61" s="25"/>
      <c r="P61" s="22">
        <f t="shared" si="0"/>
        <v>0</v>
      </c>
      <c r="Q61" s="22">
        <f t="shared" si="1"/>
        <v>3</v>
      </c>
      <c r="R61" s="22">
        <f t="shared" si="2"/>
        <v>3</v>
      </c>
    </row>
    <row r="62" spans="1:18" x14ac:dyDescent="0.2">
      <c r="A62" s="25" t="s">
        <v>415</v>
      </c>
      <c r="B62" s="26" t="s">
        <v>59</v>
      </c>
      <c r="C62" s="25" t="s">
        <v>587</v>
      </c>
      <c r="D62" s="26"/>
      <c r="E62" s="25" t="s">
        <v>299</v>
      </c>
      <c r="F62" s="39" t="s">
        <v>299</v>
      </c>
      <c r="G62" s="25"/>
      <c r="H62" s="25"/>
      <c r="I62" s="39" t="s">
        <v>299</v>
      </c>
      <c r="J62" s="38" t="s">
        <v>652</v>
      </c>
      <c r="K62" s="25"/>
      <c r="L62" s="25"/>
      <c r="M62" s="25"/>
      <c r="N62" s="25"/>
      <c r="O62" s="25"/>
      <c r="P62" s="22">
        <f t="shared" si="0"/>
        <v>2</v>
      </c>
      <c r="Q62" s="22">
        <f t="shared" si="1"/>
        <v>1</v>
      </c>
      <c r="R62" s="22">
        <f t="shared" si="2"/>
        <v>3</v>
      </c>
    </row>
    <row r="63" spans="1:18" x14ac:dyDescent="0.2">
      <c r="A63" s="25" t="s">
        <v>416</v>
      </c>
      <c r="B63" s="26" t="s">
        <v>417</v>
      </c>
      <c r="C63" s="25" t="s">
        <v>586</v>
      </c>
      <c r="D63" s="26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2">
        <f t="shared" si="0"/>
        <v>0</v>
      </c>
      <c r="Q63" s="22">
        <f t="shared" si="1"/>
        <v>0</v>
      </c>
      <c r="R63" s="22">
        <f t="shared" si="2"/>
        <v>0</v>
      </c>
    </row>
    <row r="64" spans="1:18" x14ac:dyDescent="0.2">
      <c r="A64" s="25" t="s">
        <v>418</v>
      </c>
      <c r="B64" s="26" t="s">
        <v>419</v>
      </c>
      <c r="C64" s="25" t="s">
        <v>585</v>
      </c>
      <c r="D64" s="26"/>
      <c r="E64" s="25" t="s">
        <v>299</v>
      </c>
      <c r="F64" s="25"/>
      <c r="G64" s="25"/>
      <c r="H64" s="25"/>
      <c r="I64" s="25"/>
      <c r="J64" s="38" t="s">
        <v>652</v>
      </c>
      <c r="K64" s="25"/>
      <c r="L64" s="25"/>
      <c r="M64" s="25"/>
      <c r="N64" s="25"/>
      <c r="O64" s="25"/>
      <c r="P64" s="22">
        <f t="shared" si="0"/>
        <v>0</v>
      </c>
      <c r="Q64" s="22">
        <f t="shared" si="1"/>
        <v>1</v>
      </c>
      <c r="R64" s="22">
        <f t="shared" si="2"/>
        <v>1</v>
      </c>
    </row>
    <row r="65" spans="1:18" x14ac:dyDescent="0.2">
      <c r="A65" s="25" t="s">
        <v>420</v>
      </c>
      <c r="B65" s="26" t="s">
        <v>421</v>
      </c>
      <c r="C65" s="25" t="s">
        <v>584</v>
      </c>
      <c r="D65" s="26"/>
      <c r="E65" s="25" t="s">
        <v>299</v>
      </c>
      <c r="F65" s="39" t="s">
        <v>299</v>
      </c>
      <c r="G65" s="25"/>
      <c r="H65" s="25"/>
      <c r="I65" s="25"/>
      <c r="J65" s="25"/>
      <c r="K65" s="25"/>
      <c r="L65" s="25"/>
      <c r="M65" s="25"/>
      <c r="N65" s="25"/>
      <c r="O65" s="25"/>
      <c r="P65" s="22">
        <f t="shared" si="0"/>
        <v>1</v>
      </c>
      <c r="Q65" s="22">
        <f t="shared" si="1"/>
        <v>0</v>
      </c>
      <c r="R65" s="22">
        <f t="shared" si="2"/>
        <v>1</v>
      </c>
    </row>
    <row r="66" spans="1:18" x14ac:dyDescent="0.2">
      <c r="A66" s="25" t="s">
        <v>422</v>
      </c>
      <c r="B66" s="26" t="s">
        <v>423</v>
      </c>
      <c r="C66" s="25" t="s">
        <v>583</v>
      </c>
      <c r="D66" s="26"/>
      <c r="E66" s="25" t="s">
        <v>299</v>
      </c>
      <c r="F66" s="38" t="s">
        <v>652</v>
      </c>
      <c r="G66" s="25"/>
      <c r="H66" s="25"/>
      <c r="I66" s="38" t="s">
        <v>652</v>
      </c>
      <c r="J66" s="38" t="s">
        <v>652</v>
      </c>
      <c r="K66" s="25"/>
      <c r="L66" s="25"/>
      <c r="M66" s="38" t="s">
        <v>652</v>
      </c>
      <c r="N66" s="25"/>
      <c r="O66" s="25"/>
      <c r="P66" s="22">
        <f t="shared" ref="P66:P101" si="3">COUNTIF(F66:O66, "FP")</f>
        <v>0</v>
      </c>
      <c r="Q66" s="22">
        <f t="shared" ref="Q66:Q101" si="4">COUNTIF(F66:O66, "XX")</f>
        <v>4</v>
      </c>
      <c r="R66" s="22">
        <f t="shared" si="2"/>
        <v>4</v>
      </c>
    </row>
    <row r="67" spans="1:18" x14ac:dyDescent="0.2">
      <c r="A67" s="25" t="s">
        <v>424</v>
      </c>
      <c r="B67" s="26" t="s">
        <v>425</v>
      </c>
      <c r="C67" s="25" t="s">
        <v>582</v>
      </c>
      <c r="D67" s="26"/>
      <c r="E67" s="25" t="s">
        <v>299</v>
      </c>
      <c r="F67" s="38" t="s">
        <v>652</v>
      </c>
      <c r="G67" s="38" t="s">
        <v>652</v>
      </c>
      <c r="H67" s="25"/>
      <c r="I67" s="38" t="s">
        <v>652</v>
      </c>
      <c r="J67" s="38" t="s">
        <v>652</v>
      </c>
      <c r="K67" s="25"/>
      <c r="L67" s="25"/>
      <c r="M67" s="25"/>
      <c r="N67" s="25"/>
      <c r="O67" s="25"/>
      <c r="P67" s="22">
        <f t="shared" si="3"/>
        <v>0</v>
      </c>
      <c r="Q67" s="22">
        <f t="shared" si="4"/>
        <v>4</v>
      </c>
      <c r="R67" s="22">
        <f t="shared" ref="R67:R101" si="5">P67+Q67</f>
        <v>4</v>
      </c>
    </row>
    <row r="68" spans="1:18" x14ac:dyDescent="0.2">
      <c r="A68" s="25" t="s">
        <v>426</v>
      </c>
      <c r="B68" s="26" t="s">
        <v>303</v>
      </c>
      <c r="C68" s="25" t="s">
        <v>581</v>
      </c>
      <c r="D68" s="26"/>
      <c r="E68" s="25" t="s">
        <v>299</v>
      </c>
      <c r="F68" s="39" t="s">
        <v>299</v>
      </c>
      <c r="G68" s="25"/>
      <c r="H68" s="39" t="s">
        <v>299</v>
      </c>
      <c r="I68" s="39" t="s">
        <v>299</v>
      </c>
      <c r="J68" s="39" t="s">
        <v>299</v>
      </c>
      <c r="K68" s="25"/>
      <c r="L68" s="25"/>
      <c r="M68" s="25"/>
      <c r="N68" s="38" t="s">
        <v>652</v>
      </c>
      <c r="O68" s="25"/>
      <c r="P68" s="22">
        <f t="shared" si="3"/>
        <v>4</v>
      </c>
      <c r="Q68" s="22">
        <f t="shared" si="4"/>
        <v>1</v>
      </c>
      <c r="R68" s="22">
        <f t="shared" si="5"/>
        <v>5</v>
      </c>
    </row>
    <row r="69" spans="1:18" x14ac:dyDescent="0.2">
      <c r="A69" s="25" t="s">
        <v>427</v>
      </c>
      <c r="B69" s="26" t="s">
        <v>428</v>
      </c>
      <c r="C69" s="25" t="s">
        <v>580</v>
      </c>
      <c r="D69" s="26"/>
      <c r="E69" s="25" t="s">
        <v>299</v>
      </c>
      <c r="F69" s="39" t="s">
        <v>299</v>
      </c>
      <c r="G69" s="38" t="s">
        <v>652</v>
      </c>
      <c r="H69" s="39" t="s">
        <v>299</v>
      </c>
      <c r="I69" s="39" t="s">
        <v>299</v>
      </c>
      <c r="J69" s="38" t="s">
        <v>652</v>
      </c>
      <c r="K69" s="25"/>
      <c r="L69" s="25"/>
      <c r="M69" s="25"/>
      <c r="N69" s="25"/>
      <c r="O69" s="25"/>
      <c r="P69" s="22">
        <f t="shared" si="3"/>
        <v>3</v>
      </c>
      <c r="Q69" s="22">
        <f t="shared" si="4"/>
        <v>2</v>
      </c>
      <c r="R69" s="22">
        <f t="shared" si="5"/>
        <v>5</v>
      </c>
    </row>
    <row r="70" spans="1:18" x14ac:dyDescent="0.2">
      <c r="A70" s="25" t="s">
        <v>429</v>
      </c>
      <c r="B70" s="26" t="s">
        <v>430</v>
      </c>
      <c r="C70" s="25" t="s">
        <v>579</v>
      </c>
      <c r="D70" s="26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2">
        <f t="shared" si="3"/>
        <v>0</v>
      </c>
      <c r="Q70" s="22">
        <f t="shared" si="4"/>
        <v>0</v>
      </c>
      <c r="R70" s="22">
        <f t="shared" si="5"/>
        <v>0</v>
      </c>
    </row>
    <row r="71" spans="1:18" x14ac:dyDescent="0.2">
      <c r="A71" s="25" t="s">
        <v>431</v>
      </c>
      <c r="B71" s="26" t="s">
        <v>432</v>
      </c>
      <c r="C71" s="25" t="s">
        <v>578</v>
      </c>
      <c r="D71" s="26"/>
      <c r="E71" s="25" t="s">
        <v>299</v>
      </c>
      <c r="F71" s="39" t="s">
        <v>299</v>
      </c>
      <c r="G71" s="38" t="s">
        <v>652</v>
      </c>
      <c r="H71" s="38" t="s">
        <v>652</v>
      </c>
      <c r="I71" s="39" t="s">
        <v>299</v>
      </c>
      <c r="J71" s="38" t="s">
        <v>652</v>
      </c>
      <c r="K71" s="25"/>
      <c r="L71" s="25"/>
      <c r="M71" s="25"/>
      <c r="N71" s="25"/>
      <c r="O71" s="25"/>
      <c r="P71" s="22">
        <f t="shared" si="3"/>
        <v>2</v>
      </c>
      <c r="Q71" s="22">
        <f t="shared" si="4"/>
        <v>3</v>
      </c>
      <c r="R71" s="22">
        <f t="shared" si="5"/>
        <v>5</v>
      </c>
    </row>
    <row r="72" spans="1:18" x14ac:dyDescent="0.2">
      <c r="A72" s="25" t="s">
        <v>433</v>
      </c>
      <c r="B72" s="26" t="s">
        <v>434</v>
      </c>
      <c r="C72" s="25" t="s">
        <v>577</v>
      </c>
      <c r="D72" s="26"/>
      <c r="E72" s="25" t="s">
        <v>299</v>
      </c>
      <c r="F72" s="39" t="s">
        <v>299</v>
      </c>
      <c r="G72" s="25"/>
      <c r="H72" s="39" t="s">
        <v>299</v>
      </c>
      <c r="I72" s="38" t="s">
        <v>652</v>
      </c>
      <c r="J72" s="38" t="s">
        <v>652</v>
      </c>
      <c r="K72" s="25"/>
      <c r="L72" s="25"/>
      <c r="M72" s="25"/>
      <c r="N72" s="25"/>
      <c r="O72" s="25"/>
      <c r="P72" s="22">
        <f t="shared" si="3"/>
        <v>2</v>
      </c>
      <c r="Q72" s="22">
        <f t="shared" si="4"/>
        <v>2</v>
      </c>
      <c r="R72" s="22">
        <f t="shared" si="5"/>
        <v>4</v>
      </c>
    </row>
    <row r="73" spans="1:18" x14ac:dyDescent="0.2">
      <c r="A73" s="25" t="s">
        <v>435</v>
      </c>
      <c r="B73" s="26" t="s">
        <v>436</v>
      </c>
      <c r="C73" s="25" t="s">
        <v>576</v>
      </c>
      <c r="D73" s="26"/>
      <c r="E73" s="25" t="s">
        <v>299</v>
      </c>
      <c r="F73" s="38" t="s">
        <v>652</v>
      </c>
      <c r="G73" s="25"/>
      <c r="H73" s="25"/>
      <c r="I73" s="25"/>
      <c r="J73" s="25"/>
      <c r="K73" s="25"/>
      <c r="L73" s="25"/>
      <c r="M73" s="25"/>
      <c r="N73" s="25"/>
      <c r="O73" s="25"/>
      <c r="P73" s="22">
        <f t="shared" si="3"/>
        <v>0</v>
      </c>
      <c r="Q73" s="22">
        <f t="shared" si="4"/>
        <v>1</v>
      </c>
      <c r="R73" s="22">
        <f t="shared" si="5"/>
        <v>1</v>
      </c>
    </row>
    <row r="74" spans="1:18" x14ac:dyDescent="0.2">
      <c r="A74" s="25" t="s">
        <v>437</v>
      </c>
      <c r="B74" s="26" t="s">
        <v>438</v>
      </c>
      <c r="C74" s="25" t="s">
        <v>575</v>
      </c>
      <c r="D74" s="26"/>
      <c r="E74" s="25" t="s">
        <v>299</v>
      </c>
      <c r="F74" s="38" t="s">
        <v>652</v>
      </c>
      <c r="G74" s="25"/>
      <c r="H74" s="25"/>
      <c r="I74" s="38" t="s">
        <v>652</v>
      </c>
      <c r="J74" s="38" t="s">
        <v>652</v>
      </c>
      <c r="K74" s="25"/>
      <c r="L74" s="25"/>
      <c r="M74" s="25"/>
      <c r="N74" s="25"/>
      <c r="O74" s="25"/>
      <c r="P74" s="22">
        <f t="shared" si="3"/>
        <v>0</v>
      </c>
      <c r="Q74" s="22">
        <f t="shared" si="4"/>
        <v>3</v>
      </c>
      <c r="R74" s="22">
        <f t="shared" si="5"/>
        <v>3</v>
      </c>
    </row>
    <row r="75" spans="1:18" x14ac:dyDescent="0.2">
      <c r="A75" s="25" t="s">
        <v>439</v>
      </c>
      <c r="B75" s="26" t="s">
        <v>440</v>
      </c>
      <c r="C75" s="25" t="s">
        <v>574</v>
      </c>
      <c r="D75" s="26"/>
      <c r="E75" s="25" t="s">
        <v>299</v>
      </c>
      <c r="F75" s="38" t="s">
        <v>652</v>
      </c>
      <c r="G75" s="25"/>
      <c r="H75" s="25"/>
      <c r="I75" s="39" t="s">
        <v>299</v>
      </c>
      <c r="J75" s="38" t="s">
        <v>652</v>
      </c>
      <c r="K75" s="25"/>
      <c r="L75" s="25"/>
      <c r="M75" s="25"/>
      <c r="N75" s="25"/>
      <c r="O75" s="25"/>
      <c r="P75" s="22">
        <f t="shared" si="3"/>
        <v>1</v>
      </c>
      <c r="Q75" s="22">
        <f t="shared" si="4"/>
        <v>2</v>
      </c>
      <c r="R75" s="22">
        <f t="shared" si="5"/>
        <v>3</v>
      </c>
    </row>
    <row r="76" spans="1:18" x14ac:dyDescent="0.2">
      <c r="A76" s="25" t="s">
        <v>441</v>
      </c>
      <c r="B76" s="26" t="s">
        <v>376</v>
      </c>
      <c r="C76" s="25" t="s">
        <v>573</v>
      </c>
      <c r="D76" s="26"/>
      <c r="E76" s="25" t="s">
        <v>299</v>
      </c>
      <c r="F76" s="38" t="s">
        <v>652</v>
      </c>
      <c r="G76" s="25"/>
      <c r="H76" s="25"/>
      <c r="I76" s="38" t="s">
        <v>652</v>
      </c>
      <c r="J76" s="38" t="s">
        <v>652</v>
      </c>
      <c r="K76" s="25"/>
      <c r="L76" s="25"/>
      <c r="M76" s="25"/>
      <c r="N76" s="38" t="s">
        <v>652</v>
      </c>
      <c r="O76" s="25"/>
      <c r="P76" s="22">
        <f t="shared" si="3"/>
        <v>0</v>
      </c>
      <c r="Q76" s="22">
        <f t="shared" si="4"/>
        <v>4</v>
      </c>
      <c r="R76" s="22">
        <f t="shared" si="5"/>
        <v>4</v>
      </c>
    </row>
    <row r="77" spans="1:18" x14ac:dyDescent="0.2">
      <c r="A77" s="25" t="s">
        <v>442</v>
      </c>
      <c r="B77" s="26" t="s">
        <v>443</v>
      </c>
      <c r="C77" s="25" t="s">
        <v>572</v>
      </c>
      <c r="D77" s="26"/>
      <c r="E77" s="25" t="s">
        <v>299</v>
      </c>
      <c r="F77" s="25"/>
      <c r="G77" s="25"/>
      <c r="H77" s="25"/>
      <c r="I77" s="39" t="s">
        <v>299</v>
      </c>
      <c r="J77" s="39" t="s">
        <v>299</v>
      </c>
      <c r="K77" s="25"/>
      <c r="L77" s="25"/>
      <c r="M77" s="25"/>
      <c r="N77" s="25"/>
      <c r="O77" s="25"/>
      <c r="P77" s="22">
        <f t="shared" si="3"/>
        <v>2</v>
      </c>
      <c r="Q77" s="22">
        <f t="shared" si="4"/>
        <v>0</v>
      </c>
      <c r="R77" s="22">
        <f t="shared" si="5"/>
        <v>2</v>
      </c>
    </row>
    <row r="78" spans="1:18" x14ac:dyDescent="0.2">
      <c r="A78" s="25" t="s">
        <v>444</v>
      </c>
      <c r="B78" s="26" t="s">
        <v>445</v>
      </c>
      <c r="C78" s="25" t="s">
        <v>571</v>
      </c>
      <c r="D78" s="26"/>
      <c r="E78" s="25" t="s">
        <v>299</v>
      </c>
      <c r="F78" s="25"/>
      <c r="G78" s="25"/>
      <c r="H78" s="25"/>
      <c r="I78" s="39" t="s">
        <v>299</v>
      </c>
      <c r="J78" s="38" t="s">
        <v>652</v>
      </c>
      <c r="K78" s="25"/>
      <c r="L78" s="25"/>
      <c r="M78" s="25"/>
      <c r="N78" s="25"/>
      <c r="O78" s="25"/>
      <c r="P78" s="22">
        <f t="shared" si="3"/>
        <v>1</v>
      </c>
      <c r="Q78" s="22">
        <f t="shared" si="4"/>
        <v>1</v>
      </c>
      <c r="R78" s="22">
        <f t="shared" si="5"/>
        <v>2</v>
      </c>
    </row>
    <row r="79" spans="1:18" x14ac:dyDescent="0.2">
      <c r="A79" s="25" t="s">
        <v>446</v>
      </c>
      <c r="B79" s="26" t="s">
        <v>447</v>
      </c>
      <c r="C79" s="25" t="s">
        <v>570</v>
      </c>
      <c r="D79" s="26"/>
      <c r="E79" s="25" t="s">
        <v>299</v>
      </c>
      <c r="F79" s="38" t="s">
        <v>652</v>
      </c>
      <c r="G79" s="25"/>
      <c r="H79" s="38" t="s">
        <v>652</v>
      </c>
      <c r="I79" s="39" t="s">
        <v>299</v>
      </c>
      <c r="J79" s="38" t="s">
        <v>652</v>
      </c>
      <c r="K79" s="25"/>
      <c r="L79" s="25"/>
      <c r="M79" s="25"/>
      <c r="N79" s="25"/>
      <c r="O79" s="25"/>
      <c r="P79" s="22">
        <f t="shared" si="3"/>
        <v>1</v>
      </c>
      <c r="Q79" s="22">
        <f t="shared" si="4"/>
        <v>3</v>
      </c>
      <c r="R79" s="22">
        <f t="shared" si="5"/>
        <v>4</v>
      </c>
    </row>
    <row r="80" spans="1:18" x14ac:dyDescent="0.2">
      <c r="A80" s="25" t="s">
        <v>448</v>
      </c>
      <c r="B80" s="26" t="s">
        <v>449</v>
      </c>
      <c r="C80" s="25" t="s">
        <v>569</v>
      </c>
      <c r="D80" s="26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2">
        <f t="shared" si="3"/>
        <v>0</v>
      </c>
      <c r="Q80" s="22">
        <f t="shared" si="4"/>
        <v>0</v>
      </c>
      <c r="R80" s="22">
        <f t="shared" si="5"/>
        <v>0</v>
      </c>
    </row>
    <row r="81" spans="1:18" x14ac:dyDescent="0.2">
      <c r="A81" s="25" t="s">
        <v>450</v>
      </c>
      <c r="B81" s="26" t="s">
        <v>451</v>
      </c>
      <c r="C81" s="25" t="s">
        <v>568</v>
      </c>
      <c r="D81" s="26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2">
        <f t="shared" si="3"/>
        <v>0</v>
      </c>
      <c r="Q81" s="22">
        <f t="shared" si="4"/>
        <v>0</v>
      </c>
      <c r="R81" s="22">
        <f t="shared" si="5"/>
        <v>0</v>
      </c>
    </row>
    <row r="82" spans="1:18" x14ac:dyDescent="0.2">
      <c r="A82" s="25" t="s">
        <v>452</v>
      </c>
      <c r="B82" s="26" t="s">
        <v>453</v>
      </c>
      <c r="C82" s="25" t="s">
        <v>567</v>
      </c>
      <c r="D82" s="26"/>
      <c r="E82" s="25" t="s">
        <v>299</v>
      </c>
      <c r="F82" s="38" t="s">
        <v>652</v>
      </c>
      <c r="G82" s="25"/>
      <c r="H82" s="25"/>
      <c r="I82" s="38" t="s">
        <v>652</v>
      </c>
      <c r="J82" s="38" t="s">
        <v>652</v>
      </c>
      <c r="K82" s="25"/>
      <c r="L82" s="25"/>
      <c r="M82" s="25"/>
      <c r="N82" s="25"/>
      <c r="O82" s="25"/>
      <c r="P82" s="22">
        <f t="shared" si="3"/>
        <v>0</v>
      </c>
      <c r="Q82" s="22">
        <f t="shared" si="4"/>
        <v>3</v>
      </c>
      <c r="R82" s="22">
        <f t="shared" si="5"/>
        <v>3</v>
      </c>
    </row>
    <row r="83" spans="1:18" x14ac:dyDescent="0.2">
      <c r="A83" s="25" t="s">
        <v>454</v>
      </c>
      <c r="B83" s="26" t="s">
        <v>455</v>
      </c>
      <c r="C83" s="25" t="s">
        <v>566</v>
      </c>
      <c r="D83" s="26"/>
      <c r="E83" s="25" t="s">
        <v>299</v>
      </c>
      <c r="F83" s="25"/>
      <c r="G83" s="25"/>
      <c r="H83" s="25"/>
      <c r="I83" s="39" t="s">
        <v>299</v>
      </c>
      <c r="J83" s="38" t="s">
        <v>652</v>
      </c>
      <c r="K83" s="25"/>
      <c r="L83" s="25"/>
      <c r="M83" s="25"/>
      <c r="N83" s="25"/>
      <c r="O83" s="25"/>
      <c r="P83" s="22">
        <f t="shared" si="3"/>
        <v>1</v>
      </c>
      <c r="Q83" s="22">
        <f t="shared" si="4"/>
        <v>1</v>
      </c>
      <c r="R83" s="22">
        <f t="shared" si="5"/>
        <v>2</v>
      </c>
    </row>
    <row r="84" spans="1:18" x14ac:dyDescent="0.2">
      <c r="A84" s="25" t="s">
        <v>456</v>
      </c>
      <c r="B84" s="26" t="s">
        <v>457</v>
      </c>
      <c r="C84" s="25" t="s">
        <v>565</v>
      </c>
      <c r="D84" s="26"/>
      <c r="E84" s="25" t="s">
        <v>299</v>
      </c>
      <c r="F84" s="38" t="s">
        <v>652</v>
      </c>
      <c r="G84" s="25"/>
      <c r="H84" s="25"/>
      <c r="I84" s="38" t="s">
        <v>652</v>
      </c>
      <c r="J84" s="38" t="s">
        <v>652</v>
      </c>
      <c r="K84" s="25"/>
      <c r="L84" s="25"/>
      <c r="M84" s="25"/>
      <c r="N84" s="25"/>
      <c r="O84" s="25"/>
      <c r="P84" s="22">
        <f t="shared" si="3"/>
        <v>0</v>
      </c>
      <c r="Q84" s="22">
        <f t="shared" si="4"/>
        <v>3</v>
      </c>
      <c r="R84" s="22">
        <f t="shared" si="5"/>
        <v>3</v>
      </c>
    </row>
    <row r="85" spans="1:18" x14ac:dyDescent="0.2">
      <c r="A85" s="25" t="s">
        <v>458</v>
      </c>
      <c r="B85" s="26" t="s">
        <v>459</v>
      </c>
      <c r="C85" s="25" t="s">
        <v>564</v>
      </c>
      <c r="D85" s="26"/>
      <c r="E85" s="25" t="s">
        <v>299</v>
      </c>
      <c r="F85" s="39" t="s">
        <v>299</v>
      </c>
      <c r="G85" s="25"/>
      <c r="H85" s="25"/>
      <c r="I85" s="25"/>
      <c r="J85" s="25"/>
      <c r="K85" s="25"/>
      <c r="L85" s="25"/>
      <c r="M85" s="25"/>
      <c r="N85" s="25"/>
      <c r="O85" s="25"/>
      <c r="P85" s="22">
        <f t="shared" si="3"/>
        <v>1</v>
      </c>
      <c r="Q85" s="22">
        <f t="shared" si="4"/>
        <v>0</v>
      </c>
      <c r="R85" s="22">
        <f t="shared" si="5"/>
        <v>1</v>
      </c>
    </row>
    <row r="86" spans="1:18" x14ac:dyDescent="0.2">
      <c r="A86" s="25" t="s">
        <v>460</v>
      </c>
      <c r="B86" s="26" t="s">
        <v>461</v>
      </c>
      <c r="C86" s="25" t="s">
        <v>563</v>
      </c>
      <c r="D86" s="26"/>
      <c r="E86" s="25" t="s">
        <v>299</v>
      </c>
      <c r="F86" s="39" t="s">
        <v>299</v>
      </c>
      <c r="G86" s="25"/>
      <c r="H86" s="25"/>
      <c r="I86" s="38" t="s">
        <v>652</v>
      </c>
      <c r="J86" s="38" t="s">
        <v>652</v>
      </c>
      <c r="K86" s="25"/>
      <c r="L86" s="25"/>
      <c r="M86" s="25"/>
      <c r="N86" s="25"/>
      <c r="O86" s="25"/>
      <c r="P86" s="22">
        <f t="shared" si="3"/>
        <v>1</v>
      </c>
      <c r="Q86" s="22">
        <f t="shared" si="4"/>
        <v>2</v>
      </c>
      <c r="R86" s="22">
        <f t="shared" si="5"/>
        <v>3</v>
      </c>
    </row>
    <row r="87" spans="1:18" x14ac:dyDescent="0.2">
      <c r="A87" s="25" t="s">
        <v>462</v>
      </c>
      <c r="B87" s="26" t="s">
        <v>463</v>
      </c>
      <c r="C87" s="25" t="s">
        <v>562</v>
      </c>
      <c r="D87" s="26"/>
      <c r="E87" s="25" t="s">
        <v>299</v>
      </c>
      <c r="F87" s="39" t="s">
        <v>299</v>
      </c>
      <c r="G87" s="25"/>
      <c r="H87" s="25"/>
      <c r="I87" s="39" t="s">
        <v>299</v>
      </c>
      <c r="J87" s="38" t="s">
        <v>652</v>
      </c>
      <c r="K87" s="25"/>
      <c r="L87" s="25"/>
      <c r="M87" s="25"/>
      <c r="N87" s="38" t="s">
        <v>652</v>
      </c>
      <c r="O87" s="38" t="s">
        <v>652</v>
      </c>
      <c r="P87" s="22">
        <f t="shared" si="3"/>
        <v>2</v>
      </c>
      <c r="Q87" s="22">
        <f t="shared" si="4"/>
        <v>3</v>
      </c>
      <c r="R87" s="22">
        <f t="shared" si="5"/>
        <v>5</v>
      </c>
    </row>
    <row r="88" spans="1:18" x14ac:dyDescent="0.2">
      <c r="A88" s="25" t="s">
        <v>464</v>
      </c>
      <c r="B88" s="26" t="s">
        <v>465</v>
      </c>
      <c r="C88" s="25" t="s">
        <v>561</v>
      </c>
      <c r="D88" s="26"/>
      <c r="E88" s="25" t="s">
        <v>299</v>
      </c>
      <c r="F88" s="39" t="s">
        <v>299</v>
      </c>
      <c r="G88" s="38" t="s">
        <v>652</v>
      </c>
      <c r="H88" s="38" t="s">
        <v>652</v>
      </c>
      <c r="I88" s="39" t="s">
        <v>299</v>
      </c>
      <c r="J88" s="39" t="s">
        <v>299</v>
      </c>
      <c r="K88" s="38" t="s">
        <v>652</v>
      </c>
      <c r="L88" s="25"/>
      <c r="M88" s="25"/>
      <c r="N88" s="25"/>
      <c r="O88" s="25"/>
      <c r="P88" s="22">
        <f t="shared" si="3"/>
        <v>3</v>
      </c>
      <c r="Q88" s="22">
        <f t="shared" si="4"/>
        <v>3</v>
      </c>
      <c r="R88" s="22">
        <f t="shared" si="5"/>
        <v>6</v>
      </c>
    </row>
    <row r="89" spans="1:18" x14ac:dyDescent="0.2">
      <c r="A89" s="25" t="s">
        <v>466</v>
      </c>
      <c r="B89" s="26" t="s">
        <v>467</v>
      </c>
      <c r="C89" s="25" t="s">
        <v>560</v>
      </c>
      <c r="D89" s="26"/>
      <c r="E89" s="25" t="s">
        <v>299</v>
      </c>
      <c r="F89" s="25"/>
      <c r="G89" s="25"/>
      <c r="H89" s="25"/>
      <c r="I89" s="39" t="s">
        <v>299</v>
      </c>
      <c r="J89" s="38" t="s">
        <v>652</v>
      </c>
      <c r="K89" s="25"/>
      <c r="L89" s="25"/>
      <c r="M89" s="25"/>
      <c r="N89" s="25"/>
      <c r="O89" s="25"/>
      <c r="P89" s="22">
        <f t="shared" si="3"/>
        <v>1</v>
      </c>
      <c r="Q89" s="22">
        <f t="shared" si="4"/>
        <v>1</v>
      </c>
      <c r="R89" s="22">
        <f t="shared" si="5"/>
        <v>2</v>
      </c>
    </row>
    <row r="90" spans="1:18" x14ac:dyDescent="0.2">
      <c r="A90" s="25" t="s">
        <v>468</v>
      </c>
      <c r="B90" s="26" t="s">
        <v>315</v>
      </c>
      <c r="C90" s="25" t="s">
        <v>559</v>
      </c>
      <c r="D90" s="26"/>
      <c r="E90" s="25" t="s">
        <v>299</v>
      </c>
      <c r="F90" s="25"/>
      <c r="G90" s="25"/>
      <c r="H90" s="38" t="s">
        <v>652</v>
      </c>
      <c r="I90" s="38" t="s">
        <v>652</v>
      </c>
      <c r="J90" s="38" t="s">
        <v>652</v>
      </c>
      <c r="K90" s="25"/>
      <c r="L90" s="25"/>
      <c r="M90" s="38" t="s">
        <v>652</v>
      </c>
      <c r="N90" s="25"/>
      <c r="O90" s="25"/>
      <c r="P90" s="22">
        <f t="shared" si="3"/>
        <v>0</v>
      </c>
      <c r="Q90" s="22">
        <f t="shared" si="4"/>
        <v>4</v>
      </c>
      <c r="R90" s="22">
        <f t="shared" si="5"/>
        <v>4</v>
      </c>
    </row>
    <row r="91" spans="1:18" x14ac:dyDescent="0.2">
      <c r="A91" s="25" t="s">
        <v>469</v>
      </c>
      <c r="B91" s="26" t="s">
        <v>470</v>
      </c>
      <c r="C91" s="25" t="s">
        <v>558</v>
      </c>
      <c r="D91" s="26"/>
      <c r="E91" s="25" t="s">
        <v>299</v>
      </c>
      <c r="F91" s="39" t="s">
        <v>299</v>
      </c>
      <c r="G91" s="39" t="s">
        <v>299</v>
      </c>
      <c r="H91" s="39" t="s">
        <v>299</v>
      </c>
      <c r="I91" s="39" t="s">
        <v>299</v>
      </c>
      <c r="J91" s="38" t="s">
        <v>652</v>
      </c>
      <c r="K91" s="25"/>
      <c r="L91" s="25"/>
      <c r="M91" s="25"/>
      <c r="N91" s="25"/>
      <c r="O91" s="25"/>
      <c r="P91" s="22">
        <f t="shared" si="3"/>
        <v>4</v>
      </c>
      <c r="Q91" s="22">
        <f t="shared" si="4"/>
        <v>1</v>
      </c>
      <c r="R91" s="22">
        <f t="shared" si="5"/>
        <v>5</v>
      </c>
    </row>
    <row r="92" spans="1:18" x14ac:dyDescent="0.2">
      <c r="A92" s="25" t="s">
        <v>471</v>
      </c>
      <c r="B92" s="26" t="s">
        <v>472</v>
      </c>
      <c r="C92" s="25" t="s">
        <v>557</v>
      </c>
      <c r="D92" s="26"/>
      <c r="E92" s="25" t="s">
        <v>299</v>
      </c>
      <c r="F92" s="39" t="s">
        <v>299</v>
      </c>
      <c r="G92" s="38" t="s">
        <v>652</v>
      </c>
      <c r="H92" s="39" t="s">
        <v>299</v>
      </c>
      <c r="I92" s="39" t="s">
        <v>299</v>
      </c>
      <c r="J92" s="38" t="s">
        <v>652</v>
      </c>
      <c r="K92" s="25"/>
      <c r="L92" s="38" t="s">
        <v>652</v>
      </c>
      <c r="M92" s="25"/>
      <c r="N92" s="38" t="s">
        <v>652</v>
      </c>
      <c r="O92" s="25"/>
      <c r="P92" s="22">
        <f t="shared" si="3"/>
        <v>3</v>
      </c>
      <c r="Q92" s="22">
        <f t="shared" si="4"/>
        <v>4</v>
      </c>
      <c r="R92" s="22">
        <f t="shared" si="5"/>
        <v>7</v>
      </c>
    </row>
    <row r="93" spans="1:18" x14ac:dyDescent="0.2">
      <c r="A93" s="25" t="s">
        <v>473</v>
      </c>
      <c r="B93" s="26" t="s">
        <v>474</v>
      </c>
      <c r="C93" s="25" t="s">
        <v>556</v>
      </c>
      <c r="D93" s="26"/>
      <c r="E93" s="25" t="s">
        <v>299</v>
      </c>
      <c r="F93" s="39" t="s">
        <v>299</v>
      </c>
      <c r="G93" s="38" t="s">
        <v>652</v>
      </c>
      <c r="H93" s="39" t="s">
        <v>299</v>
      </c>
      <c r="I93" s="39" t="s">
        <v>299</v>
      </c>
      <c r="J93" s="38" t="s">
        <v>652</v>
      </c>
      <c r="K93" s="25"/>
      <c r="L93" s="25"/>
      <c r="M93" s="25"/>
      <c r="N93" s="25"/>
      <c r="O93" s="25"/>
      <c r="P93" s="22">
        <f t="shared" si="3"/>
        <v>3</v>
      </c>
      <c r="Q93" s="22">
        <f t="shared" si="4"/>
        <v>2</v>
      </c>
      <c r="R93" s="22">
        <f t="shared" si="5"/>
        <v>5</v>
      </c>
    </row>
    <row r="94" spans="1:18" x14ac:dyDescent="0.2">
      <c r="A94" s="25" t="s">
        <v>475</v>
      </c>
      <c r="B94" s="26" t="s">
        <v>476</v>
      </c>
      <c r="C94" s="25" t="s">
        <v>555</v>
      </c>
      <c r="D94" s="26"/>
      <c r="E94" s="25" t="s">
        <v>299</v>
      </c>
      <c r="F94" s="38" t="s">
        <v>652</v>
      </c>
      <c r="G94" s="25"/>
      <c r="H94" s="25"/>
      <c r="I94" s="38" t="s">
        <v>652</v>
      </c>
      <c r="J94" s="38" t="s">
        <v>652</v>
      </c>
      <c r="K94" s="25"/>
      <c r="L94" s="25"/>
      <c r="M94" s="25"/>
      <c r="N94" s="25"/>
      <c r="O94" s="25"/>
      <c r="P94" s="22">
        <f t="shared" si="3"/>
        <v>0</v>
      </c>
      <c r="Q94" s="22">
        <f t="shared" si="4"/>
        <v>3</v>
      </c>
      <c r="R94" s="22">
        <f t="shared" si="5"/>
        <v>3</v>
      </c>
    </row>
    <row r="95" spans="1:18" x14ac:dyDescent="0.2">
      <c r="A95" s="25" t="s">
        <v>477</v>
      </c>
      <c r="B95" s="26" t="s">
        <v>478</v>
      </c>
      <c r="C95" s="25" t="s">
        <v>554</v>
      </c>
      <c r="D95" s="26" t="s">
        <v>553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2">
        <f t="shared" si="3"/>
        <v>0</v>
      </c>
      <c r="Q95" s="22">
        <f t="shared" si="4"/>
        <v>0</v>
      </c>
      <c r="R95" s="22">
        <f t="shared" si="5"/>
        <v>0</v>
      </c>
    </row>
    <row r="96" spans="1:18" x14ac:dyDescent="0.2">
      <c r="A96" s="25" t="s">
        <v>479</v>
      </c>
      <c r="B96" s="26" t="s">
        <v>480</v>
      </c>
      <c r="C96" s="25" t="s">
        <v>552</v>
      </c>
      <c r="D96" s="26"/>
      <c r="E96" s="25" t="s">
        <v>299</v>
      </c>
      <c r="F96" s="39" t="s">
        <v>299</v>
      </c>
      <c r="G96" s="25"/>
      <c r="H96" s="25"/>
      <c r="I96" s="38" t="s">
        <v>652</v>
      </c>
      <c r="J96" s="38" t="s">
        <v>652</v>
      </c>
      <c r="K96" s="38" t="s">
        <v>652</v>
      </c>
      <c r="L96" s="25"/>
      <c r="M96" s="25"/>
      <c r="N96" s="25"/>
      <c r="O96" s="25"/>
      <c r="P96" s="22">
        <f t="shared" si="3"/>
        <v>1</v>
      </c>
      <c r="Q96" s="22">
        <f t="shared" si="4"/>
        <v>3</v>
      </c>
      <c r="R96" s="22">
        <f t="shared" si="5"/>
        <v>4</v>
      </c>
    </row>
    <row r="97" spans="1:18" x14ac:dyDescent="0.2">
      <c r="A97" s="25" t="s">
        <v>481</v>
      </c>
      <c r="B97" s="26" t="s">
        <v>482</v>
      </c>
      <c r="C97" s="25" t="s">
        <v>551</v>
      </c>
      <c r="D97" s="26"/>
      <c r="E97" s="25" t="s">
        <v>299</v>
      </c>
      <c r="F97" s="25"/>
      <c r="G97" s="25"/>
      <c r="H97" s="25"/>
      <c r="I97" s="38" t="s">
        <v>652</v>
      </c>
      <c r="J97" s="38" t="s">
        <v>652</v>
      </c>
      <c r="K97" s="25"/>
      <c r="L97" s="25"/>
      <c r="M97" s="25"/>
      <c r="N97" s="25"/>
      <c r="O97" s="25"/>
      <c r="P97" s="22">
        <f t="shared" si="3"/>
        <v>0</v>
      </c>
      <c r="Q97" s="22">
        <f t="shared" si="4"/>
        <v>2</v>
      </c>
      <c r="R97" s="22">
        <f t="shared" si="5"/>
        <v>2</v>
      </c>
    </row>
    <row r="98" spans="1:18" x14ac:dyDescent="0.2">
      <c r="A98" s="25" t="s">
        <v>483</v>
      </c>
      <c r="B98" s="26" t="s">
        <v>484</v>
      </c>
      <c r="C98" s="25" t="s">
        <v>550</v>
      </c>
      <c r="D98" s="26"/>
      <c r="E98" s="25" t="s">
        <v>299</v>
      </c>
      <c r="F98" s="39" t="s">
        <v>299</v>
      </c>
      <c r="G98" s="25"/>
      <c r="H98" s="25"/>
      <c r="I98" s="39" t="s">
        <v>299</v>
      </c>
      <c r="J98" s="38" t="s">
        <v>652</v>
      </c>
      <c r="K98" s="25"/>
      <c r="L98" s="25"/>
      <c r="M98" s="25"/>
      <c r="N98" s="25"/>
      <c r="O98" s="25"/>
      <c r="P98" s="22">
        <f t="shared" si="3"/>
        <v>2</v>
      </c>
      <c r="Q98" s="22">
        <f t="shared" si="4"/>
        <v>1</v>
      </c>
      <c r="R98" s="22">
        <f t="shared" si="5"/>
        <v>3</v>
      </c>
    </row>
    <row r="99" spans="1:18" x14ac:dyDescent="0.2">
      <c r="A99" s="25" t="s">
        <v>485</v>
      </c>
      <c r="B99" s="26" t="s">
        <v>96</v>
      </c>
      <c r="C99" s="25" t="s">
        <v>549</v>
      </c>
      <c r="D99" s="26"/>
      <c r="E99" s="25" t="s">
        <v>299</v>
      </c>
      <c r="F99" s="38" t="s">
        <v>652</v>
      </c>
      <c r="G99" s="25"/>
      <c r="H99" s="25"/>
      <c r="I99" s="38" t="s">
        <v>652</v>
      </c>
      <c r="J99" s="38" t="s">
        <v>652</v>
      </c>
      <c r="K99" s="25"/>
      <c r="L99" s="25"/>
      <c r="M99" s="25"/>
      <c r="N99" s="25"/>
      <c r="O99" s="25"/>
      <c r="P99" s="22">
        <f t="shared" si="3"/>
        <v>0</v>
      </c>
      <c r="Q99" s="22">
        <f t="shared" si="4"/>
        <v>3</v>
      </c>
      <c r="R99" s="22">
        <f t="shared" si="5"/>
        <v>3</v>
      </c>
    </row>
    <row r="100" spans="1:18" x14ac:dyDescent="0.2">
      <c r="A100" s="25" t="s">
        <v>486</v>
      </c>
      <c r="B100" s="26" t="s">
        <v>487</v>
      </c>
      <c r="C100" s="25" t="s">
        <v>548</v>
      </c>
      <c r="D100" s="26" t="s">
        <v>547</v>
      </c>
      <c r="E100" s="25" t="s">
        <v>299</v>
      </c>
      <c r="F100" s="38" t="s">
        <v>652</v>
      </c>
      <c r="G100" s="25"/>
      <c r="H100" s="25"/>
      <c r="I100" s="38" t="s">
        <v>652</v>
      </c>
      <c r="J100" s="38" t="s">
        <v>652</v>
      </c>
      <c r="K100" s="38" t="s">
        <v>652</v>
      </c>
      <c r="L100" s="25"/>
      <c r="M100" s="25"/>
      <c r="N100" s="25"/>
      <c r="O100" s="25"/>
      <c r="P100" s="22">
        <f t="shared" si="3"/>
        <v>0</v>
      </c>
      <c r="Q100" s="22">
        <f t="shared" si="4"/>
        <v>4</v>
      </c>
      <c r="R100" s="22">
        <f t="shared" si="5"/>
        <v>4</v>
      </c>
    </row>
    <row r="101" spans="1:18" x14ac:dyDescent="0.2">
      <c r="A101" s="25" t="s">
        <v>488</v>
      </c>
      <c r="B101" s="26" t="s">
        <v>489</v>
      </c>
      <c r="C101" s="25" t="s">
        <v>546</v>
      </c>
      <c r="D101" s="26"/>
      <c r="E101" s="25" t="s">
        <v>299</v>
      </c>
      <c r="F101" s="38" t="s">
        <v>652</v>
      </c>
      <c r="G101" s="25"/>
      <c r="H101" s="25"/>
      <c r="I101" s="38" t="s">
        <v>652</v>
      </c>
      <c r="J101" s="38" t="s">
        <v>652</v>
      </c>
      <c r="K101" s="38" t="s">
        <v>652</v>
      </c>
      <c r="L101" s="25"/>
      <c r="M101" s="25"/>
      <c r="N101" s="25"/>
      <c r="O101" s="25"/>
      <c r="P101" s="22">
        <f t="shared" si="3"/>
        <v>0</v>
      </c>
      <c r="Q101" s="22">
        <f t="shared" si="4"/>
        <v>4</v>
      </c>
      <c r="R101" s="22">
        <f t="shared" si="5"/>
        <v>4</v>
      </c>
    </row>
    <row r="102" spans="1:18" x14ac:dyDescent="0.2">
      <c r="E102" s="22">
        <f>COUNTIF(E2:E101, "FP")</f>
        <v>85</v>
      </c>
      <c r="F102" s="22">
        <f t="shared" ref="F102:O102" si="6">COUNTIF(F2:F101, "FP")</f>
        <v>45</v>
      </c>
      <c r="G102" s="22">
        <f t="shared" si="6"/>
        <v>1</v>
      </c>
      <c r="H102" s="22">
        <f t="shared" si="6"/>
        <v>14</v>
      </c>
      <c r="I102" s="22">
        <f t="shared" si="6"/>
        <v>37</v>
      </c>
      <c r="J102" s="22">
        <f t="shared" si="6"/>
        <v>9</v>
      </c>
      <c r="K102" s="22">
        <f t="shared" si="6"/>
        <v>2</v>
      </c>
      <c r="L102" s="22">
        <f t="shared" si="6"/>
        <v>0</v>
      </c>
      <c r="M102" s="22">
        <f t="shared" si="6"/>
        <v>0</v>
      </c>
      <c r="N102" s="22">
        <f t="shared" si="6"/>
        <v>0</v>
      </c>
      <c r="O102" s="22">
        <f t="shared" si="6"/>
        <v>0</v>
      </c>
      <c r="P102" s="22">
        <f>SUM(P2:P101)/100</f>
        <v>1.08</v>
      </c>
      <c r="Q102" s="22">
        <f t="shared" ref="Q102:R102" si="7">SUM(Q2:Q101)/100</f>
        <v>1.76</v>
      </c>
      <c r="R102" s="22">
        <f t="shared" si="7"/>
        <v>2.84</v>
      </c>
    </row>
    <row r="103" spans="1:18" x14ac:dyDescent="0.2">
      <c r="E103" s="22">
        <f>COUNTIF(E2:E101, "XX")</f>
        <v>0</v>
      </c>
      <c r="F103" s="22">
        <f t="shared" ref="F103:O103" si="8">COUNTIF(F2:F101, "XX")</f>
        <v>23</v>
      </c>
      <c r="G103" s="22">
        <f t="shared" si="8"/>
        <v>12</v>
      </c>
      <c r="H103" s="22">
        <f t="shared" si="8"/>
        <v>8</v>
      </c>
      <c r="I103" s="22">
        <f t="shared" si="8"/>
        <v>30</v>
      </c>
      <c r="J103" s="22">
        <f t="shared" si="8"/>
        <v>66</v>
      </c>
      <c r="K103" s="22">
        <f t="shared" si="8"/>
        <v>12</v>
      </c>
      <c r="L103" s="22">
        <f t="shared" si="8"/>
        <v>7</v>
      </c>
      <c r="M103" s="22">
        <f t="shared" si="8"/>
        <v>5</v>
      </c>
      <c r="N103" s="22">
        <f t="shared" si="8"/>
        <v>12</v>
      </c>
      <c r="O103" s="22">
        <f t="shared" si="8"/>
        <v>1</v>
      </c>
    </row>
    <row r="104" spans="1:18" x14ac:dyDescent="0.2">
      <c r="F104" s="22">
        <f>SUM(F102+F103)</f>
        <v>68</v>
      </c>
      <c r="G104" s="22">
        <f t="shared" ref="G104:O104" si="9">SUM(G102+G103)</f>
        <v>13</v>
      </c>
      <c r="H104" s="22">
        <f t="shared" si="9"/>
        <v>22</v>
      </c>
      <c r="I104" s="22">
        <f t="shared" si="9"/>
        <v>67</v>
      </c>
      <c r="J104" s="22">
        <f t="shared" si="9"/>
        <v>75</v>
      </c>
      <c r="K104" s="22">
        <f t="shared" si="9"/>
        <v>14</v>
      </c>
      <c r="L104" s="22">
        <f t="shared" si="9"/>
        <v>7</v>
      </c>
      <c r="M104" s="22">
        <f t="shared" si="9"/>
        <v>5</v>
      </c>
      <c r="N104" s="22">
        <f t="shared" si="9"/>
        <v>12</v>
      </c>
      <c r="O104" s="22">
        <f t="shared" si="9"/>
        <v>1</v>
      </c>
      <c r="P104" s="22">
        <f>COUNTIF(P2:P101, "0")</f>
        <v>44</v>
      </c>
      <c r="Q104" s="22">
        <f t="shared" ref="Q104:R104" si="10">COUNTIF(Q2:Q101, "0")</f>
        <v>27</v>
      </c>
      <c r="R104" s="22">
        <f t="shared" si="10"/>
        <v>15</v>
      </c>
    </row>
  </sheetData>
  <autoFilter ref="A1:O101" xr:uid="{00000000-0009-0000-0000-000001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EED8-2C6D-8049-B903-B833A2B38CC3}">
  <dimension ref="A1:R102"/>
  <sheetViews>
    <sheetView workbookViewId="0">
      <pane ySplit="1" topLeftCell="A67" activePane="bottomLeft" state="frozen"/>
      <selection pane="bottomLeft" activeCell="A99" sqref="A99"/>
    </sheetView>
  </sheetViews>
  <sheetFormatPr baseColWidth="10" defaultColWidth="8.83203125" defaultRowHeight="15" x14ac:dyDescent="0.2"/>
  <cols>
    <col min="1" max="1" width="8" style="22" customWidth="1"/>
    <col min="2" max="2" width="28" style="22" customWidth="1"/>
    <col min="3" max="17" width="22" style="22" customWidth="1"/>
    <col min="18" max="16384" width="8.83203125" style="22"/>
  </cols>
  <sheetData>
    <row r="1" spans="1:18" ht="32" x14ac:dyDescent="0.2">
      <c r="A1" s="30" t="s">
        <v>490</v>
      </c>
      <c r="B1" s="30" t="s">
        <v>491</v>
      </c>
      <c r="C1" s="30" t="s">
        <v>492</v>
      </c>
      <c r="D1" s="30" t="s">
        <v>493</v>
      </c>
      <c r="E1" s="30" t="s">
        <v>494</v>
      </c>
      <c r="F1" s="30" t="s">
        <v>495</v>
      </c>
      <c r="G1" s="30" t="s">
        <v>496</v>
      </c>
      <c r="H1" s="30" t="s">
        <v>497</v>
      </c>
      <c r="I1" s="30" t="s">
        <v>498</v>
      </c>
      <c r="J1" s="30" t="s">
        <v>499</v>
      </c>
      <c r="K1" s="30" t="s">
        <v>522</v>
      </c>
      <c r="L1" s="30" t="s">
        <v>500</v>
      </c>
      <c r="M1" s="30" t="s">
        <v>134</v>
      </c>
      <c r="N1" s="30" t="s">
        <v>263</v>
      </c>
      <c r="O1" s="30" t="s">
        <v>264</v>
      </c>
      <c r="P1" s="30" t="s">
        <v>135</v>
      </c>
      <c r="Q1" s="30" t="s">
        <v>265</v>
      </c>
    </row>
    <row r="2" spans="1:18" ht="16" x14ac:dyDescent="0.2">
      <c r="A2" s="22" t="s">
        <v>297</v>
      </c>
      <c r="B2" s="31" t="s">
        <v>501</v>
      </c>
      <c r="C2" s="32" t="s">
        <v>299</v>
      </c>
      <c r="D2" s="32" t="s">
        <v>299</v>
      </c>
      <c r="F2" s="32" t="s">
        <v>299</v>
      </c>
      <c r="L2" s="32" t="s">
        <v>299</v>
      </c>
      <c r="M2" s="32" t="s">
        <v>299</v>
      </c>
      <c r="N2" s="32" t="s">
        <v>299</v>
      </c>
      <c r="O2" s="32" t="s">
        <v>299</v>
      </c>
      <c r="P2" s="32" t="s">
        <v>299</v>
      </c>
      <c r="Q2" s="32" t="s">
        <v>299</v>
      </c>
      <c r="R2" s="22">
        <f>COUNTIF(C2:Q2, "FP")</f>
        <v>9</v>
      </c>
    </row>
    <row r="3" spans="1:18" ht="16" x14ac:dyDescent="0.2">
      <c r="A3" s="22" t="s">
        <v>300</v>
      </c>
      <c r="B3" s="31" t="s">
        <v>1</v>
      </c>
      <c r="L3" s="32" t="s">
        <v>299</v>
      </c>
      <c r="R3" s="22">
        <f t="shared" ref="R3:R66" si="0">COUNTIF(C3:Q3, "FP")</f>
        <v>1</v>
      </c>
    </row>
    <row r="4" spans="1:18" ht="16" x14ac:dyDescent="0.2">
      <c r="A4" s="22" t="s">
        <v>302</v>
      </c>
      <c r="B4" s="31" t="s">
        <v>303</v>
      </c>
      <c r="C4" s="32" t="s">
        <v>299</v>
      </c>
      <c r="D4" s="32" t="s">
        <v>299</v>
      </c>
      <c r="F4" s="32" t="s">
        <v>299</v>
      </c>
      <c r="K4" s="32" t="s">
        <v>299</v>
      </c>
      <c r="L4" s="32" t="s">
        <v>299</v>
      </c>
      <c r="M4" s="32" t="s">
        <v>299</v>
      </c>
      <c r="N4" s="32" t="s">
        <v>299</v>
      </c>
      <c r="O4" s="32" t="s">
        <v>299</v>
      </c>
      <c r="P4" s="32" t="s">
        <v>299</v>
      </c>
      <c r="Q4" s="32" t="s">
        <v>299</v>
      </c>
      <c r="R4" s="22">
        <f t="shared" si="0"/>
        <v>10</v>
      </c>
    </row>
    <row r="5" spans="1:18" ht="16" x14ac:dyDescent="0.2">
      <c r="A5" s="22" t="s">
        <v>304</v>
      </c>
      <c r="B5" s="31" t="s">
        <v>305</v>
      </c>
      <c r="C5" s="32" t="s">
        <v>299</v>
      </c>
      <c r="F5" s="32" t="s">
        <v>299</v>
      </c>
      <c r="L5" s="32" t="s">
        <v>299</v>
      </c>
      <c r="M5" s="32" t="s">
        <v>299</v>
      </c>
      <c r="P5" s="32" t="s">
        <v>299</v>
      </c>
      <c r="Q5" s="32" t="s">
        <v>299</v>
      </c>
      <c r="R5" s="22">
        <f t="shared" si="0"/>
        <v>6</v>
      </c>
    </row>
    <row r="6" spans="1:18" ht="16" x14ac:dyDescent="0.2">
      <c r="A6" s="22" t="s">
        <v>306</v>
      </c>
      <c r="B6" s="31" t="s">
        <v>307</v>
      </c>
      <c r="R6" s="22">
        <f t="shared" si="0"/>
        <v>0</v>
      </c>
    </row>
    <row r="7" spans="1:18" ht="16" x14ac:dyDescent="0.2">
      <c r="A7" s="22" t="s">
        <v>308</v>
      </c>
      <c r="B7" s="31" t="s">
        <v>309</v>
      </c>
      <c r="D7" s="32" t="s">
        <v>299</v>
      </c>
      <c r="F7" s="32" t="s">
        <v>299</v>
      </c>
      <c r="L7" s="32" t="s">
        <v>299</v>
      </c>
      <c r="M7" s="32" t="s">
        <v>299</v>
      </c>
      <c r="R7" s="22">
        <f t="shared" si="0"/>
        <v>4</v>
      </c>
    </row>
    <row r="8" spans="1:18" ht="16" x14ac:dyDescent="0.2">
      <c r="A8" s="22" t="s">
        <v>310</v>
      </c>
      <c r="B8" s="31" t="s">
        <v>311</v>
      </c>
      <c r="C8" s="32" t="s">
        <v>299</v>
      </c>
      <c r="D8" s="32" t="s">
        <v>299</v>
      </c>
      <c r="F8" s="32" t="s">
        <v>299</v>
      </c>
      <c r="L8" s="32" t="s">
        <v>299</v>
      </c>
      <c r="M8" s="32" t="s">
        <v>299</v>
      </c>
      <c r="P8" s="32" t="s">
        <v>299</v>
      </c>
      <c r="Q8" s="32" t="s">
        <v>299</v>
      </c>
      <c r="R8" s="22">
        <f t="shared" si="0"/>
        <v>7</v>
      </c>
    </row>
    <row r="9" spans="1:18" ht="16" x14ac:dyDescent="0.2">
      <c r="A9" s="22" t="s">
        <v>312</v>
      </c>
      <c r="B9" s="31" t="s">
        <v>325</v>
      </c>
      <c r="C9" s="32" t="s">
        <v>299</v>
      </c>
      <c r="D9" s="32" t="s">
        <v>299</v>
      </c>
      <c r="F9" s="32" t="s">
        <v>299</v>
      </c>
      <c r="L9" s="32" t="s">
        <v>299</v>
      </c>
      <c r="M9" s="32" t="s">
        <v>299</v>
      </c>
      <c r="O9" s="32" t="s">
        <v>299</v>
      </c>
      <c r="P9" s="32" t="s">
        <v>299</v>
      </c>
      <c r="R9" s="22">
        <f t="shared" si="0"/>
        <v>7</v>
      </c>
    </row>
    <row r="10" spans="1:18" ht="16" x14ac:dyDescent="0.2">
      <c r="A10" s="22" t="s">
        <v>314</v>
      </c>
      <c r="B10" s="31" t="s">
        <v>315</v>
      </c>
      <c r="C10" s="32" t="s">
        <v>299</v>
      </c>
      <c r="F10" s="32" t="s">
        <v>299</v>
      </c>
      <c r="L10" s="32" t="s">
        <v>299</v>
      </c>
      <c r="M10" s="32" t="s">
        <v>299</v>
      </c>
      <c r="R10" s="22">
        <f t="shared" si="0"/>
        <v>4</v>
      </c>
    </row>
    <row r="11" spans="1:18" ht="16" x14ac:dyDescent="0.2">
      <c r="A11" s="22" t="s">
        <v>316</v>
      </c>
      <c r="B11" s="31" t="s">
        <v>502</v>
      </c>
      <c r="R11" s="22">
        <f t="shared" si="0"/>
        <v>0</v>
      </c>
    </row>
    <row r="12" spans="1:18" ht="16" x14ac:dyDescent="0.2">
      <c r="A12" s="22" t="s">
        <v>318</v>
      </c>
      <c r="B12" s="31" t="s">
        <v>319</v>
      </c>
      <c r="F12" s="32" t="s">
        <v>299</v>
      </c>
      <c r="H12" s="32" t="s">
        <v>299</v>
      </c>
      <c r="L12" s="32" t="s">
        <v>299</v>
      </c>
      <c r="R12" s="22">
        <f t="shared" si="0"/>
        <v>3</v>
      </c>
    </row>
    <row r="13" spans="1:18" ht="16" x14ac:dyDescent="0.2">
      <c r="A13" s="22" t="s">
        <v>320</v>
      </c>
      <c r="B13" s="31" t="s">
        <v>321</v>
      </c>
      <c r="C13" s="32" t="s">
        <v>299</v>
      </c>
      <c r="F13" s="32" t="s">
        <v>299</v>
      </c>
      <c r="L13" s="32" t="s">
        <v>299</v>
      </c>
      <c r="M13" s="32" t="s">
        <v>299</v>
      </c>
      <c r="O13" s="32" t="s">
        <v>299</v>
      </c>
      <c r="Q13" s="32" t="s">
        <v>299</v>
      </c>
      <c r="R13" s="22">
        <f t="shared" si="0"/>
        <v>6</v>
      </c>
    </row>
    <row r="14" spans="1:18" ht="16" x14ac:dyDescent="0.2">
      <c r="A14" s="22" t="s">
        <v>322</v>
      </c>
      <c r="B14" s="31" t="s">
        <v>323</v>
      </c>
      <c r="C14" s="32" t="s">
        <v>299</v>
      </c>
      <c r="F14" s="32" t="s">
        <v>299</v>
      </c>
      <c r="K14" s="32" t="s">
        <v>299</v>
      </c>
      <c r="L14" s="32" t="s">
        <v>299</v>
      </c>
      <c r="M14" s="32" t="s">
        <v>299</v>
      </c>
      <c r="O14" s="32" t="s">
        <v>299</v>
      </c>
      <c r="P14" s="32" t="s">
        <v>299</v>
      </c>
      <c r="Q14" s="32" t="s">
        <v>299</v>
      </c>
      <c r="R14" s="22">
        <f t="shared" si="0"/>
        <v>8</v>
      </c>
    </row>
    <row r="15" spans="1:18" ht="16" x14ac:dyDescent="0.2">
      <c r="A15" s="22" t="s">
        <v>324</v>
      </c>
      <c r="B15" s="31" t="s">
        <v>325</v>
      </c>
      <c r="C15" s="32" t="s">
        <v>299</v>
      </c>
      <c r="D15" s="32" t="s">
        <v>299</v>
      </c>
      <c r="L15" s="32" t="s">
        <v>299</v>
      </c>
      <c r="M15" s="32" t="s">
        <v>299</v>
      </c>
      <c r="N15" s="32" t="s">
        <v>299</v>
      </c>
      <c r="P15" s="32" t="s">
        <v>299</v>
      </c>
      <c r="Q15" s="32" t="s">
        <v>299</v>
      </c>
      <c r="R15" s="22">
        <f t="shared" si="0"/>
        <v>7</v>
      </c>
    </row>
    <row r="16" spans="1:18" ht="16" x14ac:dyDescent="0.2">
      <c r="A16" s="22" t="s">
        <v>326</v>
      </c>
      <c r="B16" s="31" t="s">
        <v>303</v>
      </c>
      <c r="F16" s="32" t="s">
        <v>299</v>
      </c>
      <c r="L16" s="32" t="s">
        <v>299</v>
      </c>
      <c r="M16" s="32" t="s">
        <v>299</v>
      </c>
      <c r="R16" s="22">
        <f t="shared" si="0"/>
        <v>3</v>
      </c>
    </row>
    <row r="17" spans="1:18" ht="16" x14ac:dyDescent="0.2">
      <c r="A17" s="22" t="s">
        <v>328</v>
      </c>
      <c r="B17" s="31" t="s">
        <v>503</v>
      </c>
      <c r="C17" s="32" t="s">
        <v>299</v>
      </c>
      <c r="D17" s="32" t="s">
        <v>299</v>
      </c>
      <c r="F17" s="32" t="s">
        <v>299</v>
      </c>
      <c r="K17" s="32" t="s">
        <v>299</v>
      </c>
      <c r="L17" s="32" t="s">
        <v>299</v>
      </c>
      <c r="M17" s="32" t="s">
        <v>299</v>
      </c>
      <c r="O17" s="32" t="s">
        <v>299</v>
      </c>
      <c r="P17" s="32" t="s">
        <v>299</v>
      </c>
      <c r="Q17" s="32" t="s">
        <v>299</v>
      </c>
      <c r="R17" s="22">
        <f t="shared" si="0"/>
        <v>9</v>
      </c>
    </row>
    <row r="18" spans="1:18" ht="16" x14ac:dyDescent="0.2">
      <c r="A18" s="22" t="s">
        <v>330</v>
      </c>
      <c r="B18" s="31" t="s">
        <v>504</v>
      </c>
      <c r="C18" s="32" t="s">
        <v>299</v>
      </c>
      <c r="D18" s="32" t="s">
        <v>299</v>
      </c>
      <c r="F18" s="32" t="s">
        <v>299</v>
      </c>
      <c r="K18" s="32" t="s">
        <v>299</v>
      </c>
      <c r="L18" s="32" t="s">
        <v>299</v>
      </c>
      <c r="M18" s="32" t="s">
        <v>299</v>
      </c>
      <c r="O18" s="32" t="s">
        <v>299</v>
      </c>
      <c r="P18" s="32" t="s">
        <v>299</v>
      </c>
      <c r="R18" s="22">
        <f t="shared" si="0"/>
        <v>8</v>
      </c>
    </row>
    <row r="19" spans="1:18" ht="16" x14ac:dyDescent="0.2">
      <c r="A19" s="22" t="s">
        <v>332</v>
      </c>
      <c r="B19" s="31" t="s">
        <v>505</v>
      </c>
      <c r="R19" s="22">
        <f t="shared" si="0"/>
        <v>0</v>
      </c>
    </row>
    <row r="20" spans="1:18" ht="16" x14ac:dyDescent="0.2">
      <c r="A20" s="22" t="s">
        <v>334</v>
      </c>
      <c r="B20" s="31" t="s">
        <v>506</v>
      </c>
      <c r="C20" s="32" t="s">
        <v>299</v>
      </c>
      <c r="D20" s="32" t="s">
        <v>299</v>
      </c>
      <c r="F20" s="32" t="s">
        <v>299</v>
      </c>
      <c r="K20" s="32" t="s">
        <v>299</v>
      </c>
      <c r="L20" s="32" t="s">
        <v>299</v>
      </c>
      <c r="M20" s="32" t="s">
        <v>299</v>
      </c>
      <c r="N20" s="32" t="s">
        <v>299</v>
      </c>
      <c r="O20" s="32" t="s">
        <v>299</v>
      </c>
      <c r="P20" s="32" t="s">
        <v>299</v>
      </c>
      <c r="Q20" s="32" t="s">
        <v>299</v>
      </c>
      <c r="R20" s="22">
        <f t="shared" si="0"/>
        <v>10</v>
      </c>
    </row>
    <row r="21" spans="1:18" ht="16" x14ac:dyDescent="0.2">
      <c r="A21" s="22" t="s">
        <v>336</v>
      </c>
      <c r="B21" s="31" t="s">
        <v>337</v>
      </c>
      <c r="L21" s="32" t="s">
        <v>299</v>
      </c>
      <c r="R21" s="22">
        <f t="shared" si="0"/>
        <v>1</v>
      </c>
    </row>
    <row r="22" spans="1:18" ht="16" x14ac:dyDescent="0.2">
      <c r="A22" s="22" t="s">
        <v>338</v>
      </c>
      <c r="B22" s="31" t="s">
        <v>339</v>
      </c>
      <c r="C22" s="32" t="s">
        <v>299</v>
      </c>
      <c r="D22" s="32" t="s">
        <v>299</v>
      </c>
      <c r="F22" s="32" t="s">
        <v>299</v>
      </c>
      <c r="L22" s="32" t="s">
        <v>299</v>
      </c>
      <c r="M22" s="32" t="s">
        <v>299</v>
      </c>
      <c r="O22" s="32" t="s">
        <v>299</v>
      </c>
      <c r="P22" s="32" t="s">
        <v>299</v>
      </c>
      <c r="R22" s="22">
        <f t="shared" si="0"/>
        <v>7</v>
      </c>
    </row>
    <row r="23" spans="1:18" ht="16" x14ac:dyDescent="0.2">
      <c r="A23" s="22" t="s">
        <v>340</v>
      </c>
      <c r="B23" s="31" t="s">
        <v>341</v>
      </c>
      <c r="R23" s="22">
        <f t="shared" si="0"/>
        <v>0</v>
      </c>
    </row>
    <row r="24" spans="1:18" ht="16" x14ac:dyDescent="0.2">
      <c r="A24" s="22" t="s">
        <v>342</v>
      </c>
      <c r="B24" s="31" t="s">
        <v>343</v>
      </c>
      <c r="C24" s="32" t="s">
        <v>299</v>
      </c>
      <c r="D24" s="32" t="s">
        <v>299</v>
      </c>
      <c r="K24" s="32" t="s">
        <v>299</v>
      </c>
      <c r="L24" s="32" t="s">
        <v>299</v>
      </c>
      <c r="M24" s="32" t="s">
        <v>299</v>
      </c>
      <c r="P24" s="32" t="s">
        <v>299</v>
      </c>
      <c r="R24" s="22">
        <f t="shared" si="0"/>
        <v>6</v>
      </c>
    </row>
    <row r="25" spans="1:18" ht="16" x14ac:dyDescent="0.2">
      <c r="A25" s="22" t="s">
        <v>344</v>
      </c>
      <c r="B25" s="31" t="s">
        <v>345</v>
      </c>
      <c r="C25" s="32" t="s">
        <v>299</v>
      </c>
      <c r="F25" s="32" t="s">
        <v>299</v>
      </c>
      <c r="L25" s="32" t="s">
        <v>299</v>
      </c>
      <c r="M25" s="32" t="s">
        <v>299</v>
      </c>
      <c r="P25" s="32" t="s">
        <v>299</v>
      </c>
      <c r="Q25" s="32" t="s">
        <v>299</v>
      </c>
      <c r="R25" s="22">
        <f t="shared" si="0"/>
        <v>6</v>
      </c>
    </row>
    <row r="26" spans="1:18" ht="16" x14ac:dyDescent="0.2">
      <c r="A26" s="22" t="s">
        <v>346</v>
      </c>
      <c r="B26" s="31" t="s">
        <v>347</v>
      </c>
      <c r="C26" s="32" t="s">
        <v>299</v>
      </c>
      <c r="F26" s="32" t="s">
        <v>299</v>
      </c>
      <c r="L26" s="32" t="s">
        <v>299</v>
      </c>
      <c r="M26" s="32" t="s">
        <v>299</v>
      </c>
      <c r="R26" s="22">
        <f t="shared" si="0"/>
        <v>4</v>
      </c>
    </row>
    <row r="27" spans="1:18" ht="16" x14ac:dyDescent="0.2">
      <c r="A27" s="22" t="s">
        <v>348</v>
      </c>
      <c r="B27" s="31" t="s">
        <v>507</v>
      </c>
      <c r="C27" s="32" t="s">
        <v>299</v>
      </c>
      <c r="D27" s="32" t="s">
        <v>299</v>
      </c>
      <c r="F27" s="32" t="s">
        <v>299</v>
      </c>
      <c r="L27" s="32" t="s">
        <v>299</v>
      </c>
      <c r="M27" s="32" t="s">
        <v>299</v>
      </c>
      <c r="P27" s="32" t="s">
        <v>299</v>
      </c>
      <c r="Q27" s="32" t="s">
        <v>299</v>
      </c>
      <c r="R27" s="22">
        <f t="shared" si="0"/>
        <v>7</v>
      </c>
    </row>
    <row r="28" spans="1:18" ht="16" x14ac:dyDescent="0.2">
      <c r="A28" s="22" t="s">
        <v>350</v>
      </c>
      <c r="B28" s="31" t="s">
        <v>508</v>
      </c>
      <c r="C28" s="32" t="s">
        <v>299</v>
      </c>
      <c r="F28" s="32" t="s">
        <v>299</v>
      </c>
      <c r="K28" s="32" t="s">
        <v>299</v>
      </c>
      <c r="L28" s="32" t="s">
        <v>299</v>
      </c>
      <c r="M28" s="32" t="s">
        <v>299</v>
      </c>
      <c r="O28" s="32" t="s">
        <v>299</v>
      </c>
      <c r="Q28" s="32" t="s">
        <v>299</v>
      </c>
      <c r="R28" s="22">
        <f t="shared" si="0"/>
        <v>7</v>
      </c>
    </row>
    <row r="29" spans="1:18" ht="16" x14ac:dyDescent="0.2">
      <c r="A29" s="22" t="s">
        <v>352</v>
      </c>
      <c r="B29" s="31" t="s">
        <v>353</v>
      </c>
      <c r="L29" s="32" t="s">
        <v>299</v>
      </c>
      <c r="R29" s="22">
        <f t="shared" si="0"/>
        <v>1</v>
      </c>
    </row>
    <row r="30" spans="1:18" ht="16" x14ac:dyDescent="0.2">
      <c r="A30" s="22" t="s">
        <v>354</v>
      </c>
      <c r="B30" s="31" t="s">
        <v>355</v>
      </c>
      <c r="C30" s="32" t="s">
        <v>299</v>
      </c>
      <c r="D30" s="32" t="s">
        <v>299</v>
      </c>
      <c r="F30" s="32" t="s">
        <v>299</v>
      </c>
      <c r="L30" s="32" t="s">
        <v>299</v>
      </c>
      <c r="M30" s="32" t="s">
        <v>299</v>
      </c>
      <c r="N30" s="32" t="s">
        <v>299</v>
      </c>
      <c r="O30" s="32" t="s">
        <v>299</v>
      </c>
      <c r="P30" s="32" t="s">
        <v>299</v>
      </c>
      <c r="Q30" s="32" t="s">
        <v>299</v>
      </c>
      <c r="R30" s="22">
        <f t="shared" si="0"/>
        <v>9</v>
      </c>
    </row>
    <row r="31" spans="1:18" ht="16" x14ac:dyDescent="0.2">
      <c r="A31" s="22" t="s">
        <v>356</v>
      </c>
      <c r="B31" s="31" t="s">
        <v>357</v>
      </c>
      <c r="C31" s="32" t="s">
        <v>299</v>
      </c>
      <c r="D31" s="32" t="s">
        <v>299</v>
      </c>
      <c r="E31" s="32" t="s">
        <v>299</v>
      </c>
      <c r="F31" s="32" t="s">
        <v>299</v>
      </c>
      <c r="L31" s="32" t="s">
        <v>299</v>
      </c>
      <c r="M31" s="32" t="s">
        <v>299</v>
      </c>
      <c r="N31" s="32" t="s">
        <v>299</v>
      </c>
      <c r="O31" s="32" t="s">
        <v>299</v>
      </c>
      <c r="P31" s="32" t="s">
        <v>299</v>
      </c>
      <c r="Q31" s="32" t="s">
        <v>299</v>
      </c>
      <c r="R31" s="22">
        <f t="shared" si="0"/>
        <v>10</v>
      </c>
    </row>
    <row r="32" spans="1:18" ht="16" x14ac:dyDescent="0.2">
      <c r="A32" s="22" t="s">
        <v>358</v>
      </c>
      <c r="B32" s="31" t="s">
        <v>359</v>
      </c>
      <c r="F32" s="32" t="s">
        <v>299</v>
      </c>
      <c r="R32" s="22">
        <f t="shared" si="0"/>
        <v>1</v>
      </c>
    </row>
    <row r="33" spans="1:18" ht="16" x14ac:dyDescent="0.2">
      <c r="A33" s="22" t="s">
        <v>360</v>
      </c>
      <c r="B33" s="31" t="s">
        <v>361</v>
      </c>
      <c r="C33" s="32" t="s">
        <v>299</v>
      </c>
      <c r="E33" s="32" t="s">
        <v>299</v>
      </c>
      <c r="F33" s="32" t="s">
        <v>299</v>
      </c>
      <c r="L33" s="32" t="s">
        <v>299</v>
      </c>
      <c r="M33" s="32" t="s">
        <v>299</v>
      </c>
      <c r="O33" s="32" t="s">
        <v>299</v>
      </c>
      <c r="P33" s="32" t="s">
        <v>299</v>
      </c>
      <c r="R33" s="22">
        <f t="shared" si="0"/>
        <v>7</v>
      </c>
    </row>
    <row r="34" spans="1:18" ht="16" x14ac:dyDescent="0.2">
      <c r="A34" s="22" t="s">
        <v>362</v>
      </c>
      <c r="B34" s="31" t="s">
        <v>363</v>
      </c>
      <c r="C34" s="32" t="s">
        <v>299</v>
      </c>
      <c r="D34" s="32" t="s">
        <v>299</v>
      </c>
      <c r="F34" s="32" t="s">
        <v>299</v>
      </c>
      <c r="K34" s="32" t="s">
        <v>299</v>
      </c>
      <c r="L34" s="32" t="s">
        <v>299</v>
      </c>
      <c r="M34" s="32" t="s">
        <v>299</v>
      </c>
      <c r="N34" s="32" t="s">
        <v>299</v>
      </c>
      <c r="O34" s="32" t="s">
        <v>299</v>
      </c>
      <c r="P34" s="32" t="s">
        <v>299</v>
      </c>
      <c r="Q34" s="32" t="s">
        <v>299</v>
      </c>
      <c r="R34" s="22">
        <f t="shared" si="0"/>
        <v>10</v>
      </c>
    </row>
    <row r="35" spans="1:18" ht="16" x14ac:dyDescent="0.2">
      <c r="A35" s="22" t="s">
        <v>364</v>
      </c>
      <c r="B35" s="31" t="s">
        <v>365</v>
      </c>
      <c r="C35" s="32" t="s">
        <v>299</v>
      </c>
      <c r="D35" s="32" t="s">
        <v>299</v>
      </c>
      <c r="F35" s="32" t="s">
        <v>299</v>
      </c>
      <c r="L35" s="32" t="s">
        <v>299</v>
      </c>
      <c r="M35" s="32" t="s">
        <v>299</v>
      </c>
      <c r="O35" s="32" t="s">
        <v>299</v>
      </c>
      <c r="P35" s="32" t="s">
        <v>299</v>
      </c>
      <c r="Q35" s="32" t="s">
        <v>299</v>
      </c>
      <c r="R35" s="22">
        <f t="shared" si="0"/>
        <v>8</v>
      </c>
    </row>
    <row r="36" spans="1:18" ht="16" x14ac:dyDescent="0.2">
      <c r="A36" s="22" t="s">
        <v>366</v>
      </c>
      <c r="B36" s="31" t="s">
        <v>509</v>
      </c>
      <c r="L36" s="32" t="s">
        <v>299</v>
      </c>
      <c r="R36" s="22">
        <f t="shared" si="0"/>
        <v>1</v>
      </c>
    </row>
    <row r="37" spans="1:18" ht="16" x14ac:dyDescent="0.2">
      <c r="A37" s="22" t="s">
        <v>368</v>
      </c>
      <c r="B37" s="31" t="s">
        <v>369</v>
      </c>
      <c r="R37" s="22">
        <f t="shared" si="0"/>
        <v>0</v>
      </c>
    </row>
    <row r="38" spans="1:18" ht="16" x14ac:dyDescent="0.2">
      <c r="A38" s="22" t="s">
        <v>370</v>
      </c>
      <c r="B38" s="31" t="s">
        <v>371</v>
      </c>
      <c r="F38" s="32" t="s">
        <v>299</v>
      </c>
      <c r="K38" s="32" t="s">
        <v>299</v>
      </c>
      <c r="L38" s="32" t="s">
        <v>299</v>
      </c>
      <c r="R38" s="22">
        <f t="shared" si="0"/>
        <v>3</v>
      </c>
    </row>
    <row r="39" spans="1:18" ht="16" x14ac:dyDescent="0.2">
      <c r="A39" s="22" t="s">
        <v>372</v>
      </c>
      <c r="B39" s="31" t="s">
        <v>37</v>
      </c>
      <c r="R39" s="22">
        <f t="shared" si="0"/>
        <v>0</v>
      </c>
    </row>
    <row r="40" spans="1:18" ht="16" x14ac:dyDescent="0.2">
      <c r="A40" s="22" t="s">
        <v>373</v>
      </c>
      <c r="B40" s="31" t="s">
        <v>510</v>
      </c>
      <c r="R40" s="22">
        <f t="shared" si="0"/>
        <v>0</v>
      </c>
    </row>
    <row r="41" spans="1:18" ht="16" x14ac:dyDescent="0.2">
      <c r="A41" s="22" t="s">
        <v>375</v>
      </c>
      <c r="B41" s="31" t="s">
        <v>376</v>
      </c>
      <c r="F41" s="32" t="s">
        <v>299</v>
      </c>
      <c r="R41" s="22">
        <f t="shared" si="0"/>
        <v>1</v>
      </c>
    </row>
    <row r="42" spans="1:18" ht="16" x14ac:dyDescent="0.2">
      <c r="A42" s="22" t="s">
        <v>377</v>
      </c>
      <c r="B42" s="31" t="s">
        <v>378</v>
      </c>
      <c r="C42" s="32" t="s">
        <v>299</v>
      </c>
      <c r="F42" s="32" t="s">
        <v>299</v>
      </c>
      <c r="K42" s="32" t="s">
        <v>299</v>
      </c>
      <c r="L42" s="32" t="s">
        <v>299</v>
      </c>
      <c r="M42" s="32" t="s">
        <v>299</v>
      </c>
      <c r="O42" s="32" t="s">
        <v>299</v>
      </c>
      <c r="Q42" s="32" t="s">
        <v>299</v>
      </c>
      <c r="R42" s="22">
        <f t="shared" si="0"/>
        <v>7</v>
      </c>
    </row>
    <row r="43" spans="1:18" ht="16" x14ac:dyDescent="0.2">
      <c r="A43" s="22" t="s">
        <v>379</v>
      </c>
      <c r="B43" s="31" t="s">
        <v>511</v>
      </c>
      <c r="L43" s="32" t="s">
        <v>299</v>
      </c>
      <c r="R43" s="22">
        <f t="shared" si="0"/>
        <v>1</v>
      </c>
    </row>
    <row r="44" spans="1:18" ht="16" x14ac:dyDescent="0.2">
      <c r="A44" s="22" t="s">
        <v>381</v>
      </c>
      <c r="B44" s="31" t="s">
        <v>382</v>
      </c>
      <c r="C44" s="32" t="s">
        <v>299</v>
      </c>
      <c r="F44" s="32" t="s">
        <v>299</v>
      </c>
      <c r="L44" s="32" t="s">
        <v>299</v>
      </c>
      <c r="M44" s="32" t="s">
        <v>299</v>
      </c>
      <c r="N44" s="32" t="s">
        <v>299</v>
      </c>
      <c r="O44" s="32" t="s">
        <v>299</v>
      </c>
      <c r="P44" s="32" t="s">
        <v>299</v>
      </c>
      <c r="Q44" s="32" t="s">
        <v>299</v>
      </c>
      <c r="R44" s="22">
        <f t="shared" si="0"/>
        <v>8</v>
      </c>
    </row>
    <row r="45" spans="1:18" ht="16" x14ac:dyDescent="0.2">
      <c r="A45" s="22" t="s">
        <v>383</v>
      </c>
      <c r="B45" s="31" t="s">
        <v>384</v>
      </c>
      <c r="C45" s="32" t="s">
        <v>299</v>
      </c>
      <c r="D45" s="32" t="s">
        <v>299</v>
      </c>
      <c r="E45" s="32" t="s">
        <v>299</v>
      </c>
      <c r="F45" s="32" t="s">
        <v>299</v>
      </c>
      <c r="K45" s="32" t="s">
        <v>299</v>
      </c>
      <c r="L45" s="32" t="s">
        <v>299</v>
      </c>
      <c r="M45" s="32" t="s">
        <v>299</v>
      </c>
      <c r="O45" s="32" t="s">
        <v>299</v>
      </c>
      <c r="P45" s="32" t="s">
        <v>299</v>
      </c>
      <c r="Q45" s="32" t="s">
        <v>299</v>
      </c>
      <c r="R45" s="22">
        <f t="shared" si="0"/>
        <v>10</v>
      </c>
    </row>
    <row r="46" spans="1:18" ht="16" x14ac:dyDescent="0.2">
      <c r="A46" s="22" t="s">
        <v>385</v>
      </c>
      <c r="B46" s="31" t="s">
        <v>386</v>
      </c>
      <c r="C46" s="32" t="s">
        <v>299</v>
      </c>
      <c r="D46" s="32" t="s">
        <v>299</v>
      </c>
      <c r="E46" s="32" t="s">
        <v>299</v>
      </c>
      <c r="F46" s="32" t="s">
        <v>299</v>
      </c>
      <c r="K46" s="32" t="s">
        <v>299</v>
      </c>
      <c r="L46" s="32" t="s">
        <v>299</v>
      </c>
      <c r="M46" s="32" t="s">
        <v>299</v>
      </c>
      <c r="N46" s="32" t="s">
        <v>299</v>
      </c>
      <c r="O46" s="32" t="s">
        <v>299</v>
      </c>
      <c r="P46" s="32" t="s">
        <v>299</v>
      </c>
      <c r="Q46" s="32" t="s">
        <v>299</v>
      </c>
      <c r="R46" s="22">
        <f t="shared" si="0"/>
        <v>11</v>
      </c>
    </row>
    <row r="47" spans="1:18" ht="16" x14ac:dyDescent="0.2">
      <c r="A47" s="22" t="s">
        <v>387</v>
      </c>
      <c r="B47" s="31" t="s">
        <v>388</v>
      </c>
      <c r="L47" s="32" t="s">
        <v>299</v>
      </c>
      <c r="R47" s="22">
        <f t="shared" si="0"/>
        <v>1</v>
      </c>
    </row>
    <row r="48" spans="1:18" ht="16" x14ac:dyDescent="0.2">
      <c r="A48" s="22" t="s">
        <v>389</v>
      </c>
      <c r="B48" s="31" t="s">
        <v>390</v>
      </c>
      <c r="L48" s="32" t="s">
        <v>299</v>
      </c>
      <c r="R48" s="22">
        <f t="shared" si="0"/>
        <v>1</v>
      </c>
    </row>
    <row r="49" spans="1:18" ht="16" x14ac:dyDescent="0.2">
      <c r="A49" s="22" t="s">
        <v>391</v>
      </c>
      <c r="B49" s="31" t="s">
        <v>392</v>
      </c>
      <c r="C49" s="32" t="s">
        <v>299</v>
      </c>
      <c r="D49" s="32" t="s">
        <v>299</v>
      </c>
      <c r="F49" s="32" t="s">
        <v>299</v>
      </c>
      <c r="K49" s="32" t="s">
        <v>299</v>
      </c>
      <c r="L49" s="32" t="s">
        <v>299</v>
      </c>
      <c r="M49" s="32" t="s">
        <v>299</v>
      </c>
      <c r="N49" s="32" t="s">
        <v>299</v>
      </c>
      <c r="O49" s="32" t="s">
        <v>299</v>
      </c>
      <c r="P49" s="32" t="s">
        <v>299</v>
      </c>
      <c r="Q49" s="32" t="s">
        <v>299</v>
      </c>
      <c r="R49" s="22">
        <f t="shared" si="0"/>
        <v>10</v>
      </c>
    </row>
    <row r="50" spans="1:18" ht="16" x14ac:dyDescent="0.2">
      <c r="A50" s="22" t="s">
        <v>393</v>
      </c>
      <c r="B50" s="31" t="s">
        <v>394</v>
      </c>
      <c r="C50" s="32" t="s">
        <v>299</v>
      </c>
      <c r="F50" s="32" t="s">
        <v>299</v>
      </c>
      <c r="L50" s="32" t="s">
        <v>299</v>
      </c>
      <c r="M50" s="32" t="s">
        <v>299</v>
      </c>
      <c r="P50" s="32" t="s">
        <v>299</v>
      </c>
      <c r="Q50" s="32" t="s">
        <v>299</v>
      </c>
      <c r="R50" s="22">
        <f t="shared" si="0"/>
        <v>6</v>
      </c>
    </row>
    <row r="51" spans="1:18" ht="16" x14ac:dyDescent="0.2">
      <c r="A51" s="22" t="s">
        <v>395</v>
      </c>
      <c r="B51" s="31" t="s">
        <v>303</v>
      </c>
      <c r="L51" s="32" t="s">
        <v>299</v>
      </c>
      <c r="R51" s="22">
        <f t="shared" si="0"/>
        <v>1</v>
      </c>
    </row>
    <row r="52" spans="1:18" ht="16" x14ac:dyDescent="0.2">
      <c r="A52" s="22" t="s">
        <v>396</v>
      </c>
      <c r="B52" s="31" t="s">
        <v>397</v>
      </c>
      <c r="L52" s="32" t="s">
        <v>299</v>
      </c>
      <c r="M52" s="32" t="s">
        <v>299</v>
      </c>
      <c r="R52" s="22">
        <f t="shared" si="0"/>
        <v>2</v>
      </c>
    </row>
    <row r="53" spans="1:18" ht="16" x14ac:dyDescent="0.2">
      <c r="A53" s="22" t="s">
        <v>398</v>
      </c>
      <c r="B53" s="31" t="s">
        <v>399</v>
      </c>
      <c r="R53" s="22">
        <f t="shared" si="0"/>
        <v>0</v>
      </c>
    </row>
    <row r="54" spans="1:18" ht="16" x14ac:dyDescent="0.2">
      <c r="A54" s="22" t="s">
        <v>400</v>
      </c>
      <c r="B54" s="31" t="s">
        <v>401</v>
      </c>
      <c r="F54" s="32" t="s">
        <v>299</v>
      </c>
      <c r="L54" s="32" t="s">
        <v>299</v>
      </c>
      <c r="R54" s="22">
        <f t="shared" si="0"/>
        <v>2</v>
      </c>
    </row>
    <row r="55" spans="1:18" ht="16" x14ac:dyDescent="0.2">
      <c r="A55" s="22" t="s">
        <v>402</v>
      </c>
      <c r="B55" s="31" t="s">
        <v>403</v>
      </c>
      <c r="C55" s="32" t="s">
        <v>299</v>
      </c>
      <c r="D55" s="32" t="s">
        <v>299</v>
      </c>
      <c r="E55" s="32" t="s">
        <v>299</v>
      </c>
      <c r="F55" s="32" t="s">
        <v>299</v>
      </c>
      <c r="L55" s="32" t="s">
        <v>299</v>
      </c>
      <c r="M55" s="32" t="s">
        <v>299</v>
      </c>
      <c r="O55" s="32" t="s">
        <v>299</v>
      </c>
      <c r="P55" s="32" t="s">
        <v>299</v>
      </c>
      <c r="Q55" s="32" t="s">
        <v>299</v>
      </c>
      <c r="R55" s="22">
        <f t="shared" si="0"/>
        <v>9</v>
      </c>
    </row>
    <row r="56" spans="1:18" ht="16" x14ac:dyDescent="0.2">
      <c r="A56" s="22" t="s">
        <v>404</v>
      </c>
      <c r="B56" s="31" t="s">
        <v>405</v>
      </c>
      <c r="C56" s="32" t="s">
        <v>299</v>
      </c>
      <c r="F56" s="32" t="s">
        <v>299</v>
      </c>
      <c r="L56" s="32" t="s">
        <v>299</v>
      </c>
      <c r="M56" s="32" t="s">
        <v>299</v>
      </c>
      <c r="N56" s="32" t="s">
        <v>299</v>
      </c>
      <c r="R56" s="22">
        <f t="shared" si="0"/>
        <v>5</v>
      </c>
    </row>
    <row r="57" spans="1:18" ht="16" x14ac:dyDescent="0.2">
      <c r="A57" s="22" t="s">
        <v>406</v>
      </c>
      <c r="B57" s="31" t="s">
        <v>656</v>
      </c>
      <c r="R57" s="22">
        <f t="shared" si="0"/>
        <v>0</v>
      </c>
    </row>
    <row r="58" spans="1:18" ht="16" x14ac:dyDescent="0.2">
      <c r="A58" s="22" t="s">
        <v>407</v>
      </c>
      <c r="B58" s="31" t="s">
        <v>408</v>
      </c>
      <c r="R58" s="22">
        <f t="shared" si="0"/>
        <v>0</v>
      </c>
    </row>
    <row r="59" spans="1:18" ht="16" x14ac:dyDescent="0.2">
      <c r="A59" s="22" t="s">
        <v>409</v>
      </c>
      <c r="B59" s="31" t="s">
        <v>512</v>
      </c>
      <c r="L59" s="32" t="s">
        <v>299</v>
      </c>
      <c r="M59" s="32" t="s">
        <v>299</v>
      </c>
      <c r="Q59" s="32" t="s">
        <v>299</v>
      </c>
      <c r="R59" s="22">
        <f t="shared" si="0"/>
        <v>3</v>
      </c>
    </row>
    <row r="60" spans="1:18" ht="16" x14ac:dyDescent="0.2">
      <c r="A60" s="22" t="s">
        <v>411</v>
      </c>
      <c r="B60" s="31" t="s">
        <v>513</v>
      </c>
      <c r="C60" s="32" t="s">
        <v>299</v>
      </c>
      <c r="F60" s="32" t="s">
        <v>299</v>
      </c>
      <c r="L60" s="32" t="s">
        <v>299</v>
      </c>
      <c r="M60" s="32" t="s">
        <v>299</v>
      </c>
      <c r="N60" s="32" t="s">
        <v>299</v>
      </c>
      <c r="O60" s="32" t="s">
        <v>299</v>
      </c>
      <c r="P60" s="32" t="s">
        <v>299</v>
      </c>
      <c r="Q60" s="32" t="s">
        <v>299</v>
      </c>
      <c r="R60" s="22">
        <f t="shared" si="0"/>
        <v>8</v>
      </c>
    </row>
    <row r="61" spans="1:18" ht="16" x14ac:dyDescent="0.2">
      <c r="A61" s="22" t="s">
        <v>413</v>
      </c>
      <c r="B61" s="31" t="s">
        <v>414</v>
      </c>
      <c r="R61" s="22">
        <f t="shared" si="0"/>
        <v>0</v>
      </c>
    </row>
    <row r="62" spans="1:18" ht="16" x14ac:dyDescent="0.2">
      <c r="A62" s="22" t="s">
        <v>415</v>
      </c>
      <c r="B62" s="31" t="s">
        <v>514</v>
      </c>
      <c r="L62" s="32" t="s">
        <v>299</v>
      </c>
      <c r="P62" s="32" t="s">
        <v>299</v>
      </c>
      <c r="R62" s="22">
        <f t="shared" si="0"/>
        <v>2</v>
      </c>
    </row>
    <row r="63" spans="1:18" ht="16" x14ac:dyDescent="0.2">
      <c r="A63" s="22" t="s">
        <v>416</v>
      </c>
      <c r="B63" s="31" t="s">
        <v>417</v>
      </c>
      <c r="C63" s="32" t="s">
        <v>299</v>
      </c>
      <c r="L63" s="32" t="s">
        <v>299</v>
      </c>
      <c r="M63" s="32" t="s">
        <v>299</v>
      </c>
      <c r="R63" s="22">
        <f t="shared" si="0"/>
        <v>3</v>
      </c>
    </row>
    <row r="64" spans="1:18" ht="16" x14ac:dyDescent="0.2">
      <c r="A64" s="22" t="s">
        <v>418</v>
      </c>
      <c r="B64" s="31" t="s">
        <v>515</v>
      </c>
      <c r="C64" s="32" t="s">
        <v>299</v>
      </c>
      <c r="L64" s="32" t="s">
        <v>299</v>
      </c>
      <c r="M64" s="32" t="s">
        <v>299</v>
      </c>
      <c r="P64" s="32" t="s">
        <v>299</v>
      </c>
      <c r="R64" s="22">
        <f t="shared" si="0"/>
        <v>4</v>
      </c>
    </row>
    <row r="65" spans="1:18" ht="16" x14ac:dyDescent="0.2">
      <c r="A65" s="22" t="s">
        <v>420</v>
      </c>
      <c r="B65" s="31" t="s">
        <v>516</v>
      </c>
      <c r="C65" s="32" t="s">
        <v>299</v>
      </c>
      <c r="F65" s="32" t="s">
        <v>299</v>
      </c>
      <c r="K65" s="32" t="s">
        <v>299</v>
      </c>
      <c r="L65" s="32" t="s">
        <v>299</v>
      </c>
      <c r="M65" s="32" t="s">
        <v>299</v>
      </c>
      <c r="O65" s="32" t="s">
        <v>299</v>
      </c>
      <c r="P65" s="32" t="s">
        <v>299</v>
      </c>
      <c r="Q65" s="32" t="s">
        <v>299</v>
      </c>
      <c r="R65" s="22">
        <f t="shared" si="0"/>
        <v>8</v>
      </c>
    </row>
    <row r="66" spans="1:18" ht="16" x14ac:dyDescent="0.2">
      <c r="A66" s="22" t="s">
        <v>422</v>
      </c>
      <c r="B66" s="31" t="s">
        <v>423</v>
      </c>
      <c r="R66" s="22">
        <f t="shared" si="0"/>
        <v>0</v>
      </c>
    </row>
    <row r="67" spans="1:18" ht="16" x14ac:dyDescent="0.2">
      <c r="A67" s="22" t="s">
        <v>424</v>
      </c>
      <c r="B67" s="31" t="s">
        <v>425</v>
      </c>
      <c r="L67" s="32" t="s">
        <v>299</v>
      </c>
      <c r="R67" s="22">
        <f t="shared" ref="R67:R102" si="1">COUNTIF(C67:Q67, "FP")</f>
        <v>1</v>
      </c>
    </row>
    <row r="68" spans="1:18" ht="16" x14ac:dyDescent="0.2">
      <c r="A68" s="22" t="s">
        <v>426</v>
      </c>
      <c r="B68" s="31" t="s">
        <v>303</v>
      </c>
      <c r="C68" s="32" t="s">
        <v>299</v>
      </c>
      <c r="D68" s="32" t="s">
        <v>299</v>
      </c>
      <c r="F68" s="32" t="s">
        <v>299</v>
      </c>
      <c r="K68" s="32" t="s">
        <v>299</v>
      </c>
      <c r="L68" s="32" t="s">
        <v>299</v>
      </c>
      <c r="M68" s="32" t="s">
        <v>299</v>
      </c>
      <c r="N68" s="32" t="s">
        <v>299</v>
      </c>
      <c r="O68" s="32" t="s">
        <v>299</v>
      </c>
      <c r="P68" s="32" t="s">
        <v>299</v>
      </c>
      <c r="Q68" s="32" t="s">
        <v>299</v>
      </c>
      <c r="R68" s="22">
        <f t="shared" si="1"/>
        <v>10</v>
      </c>
    </row>
    <row r="69" spans="1:18" ht="16" x14ac:dyDescent="0.2">
      <c r="A69" s="22" t="s">
        <v>427</v>
      </c>
      <c r="B69" s="31" t="s">
        <v>428</v>
      </c>
      <c r="C69" s="32" t="s">
        <v>299</v>
      </c>
      <c r="F69" s="32" t="s">
        <v>299</v>
      </c>
      <c r="L69" s="32" t="s">
        <v>299</v>
      </c>
      <c r="M69" s="32" t="s">
        <v>299</v>
      </c>
      <c r="P69" s="32" t="s">
        <v>299</v>
      </c>
      <c r="Q69" s="32" t="s">
        <v>299</v>
      </c>
      <c r="R69" s="22">
        <f t="shared" si="1"/>
        <v>6</v>
      </c>
    </row>
    <row r="70" spans="1:18" ht="16" x14ac:dyDescent="0.2">
      <c r="A70" s="22" t="s">
        <v>429</v>
      </c>
      <c r="B70" s="31" t="s">
        <v>517</v>
      </c>
      <c r="R70" s="22">
        <f t="shared" si="1"/>
        <v>0</v>
      </c>
    </row>
    <row r="71" spans="1:18" ht="16" x14ac:dyDescent="0.2">
      <c r="A71" s="22" t="s">
        <v>431</v>
      </c>
      <c r="B71" s="31" t="s">
        <v>432</v>
      </c>
      <c r="C71" s="32" t="s">
        <v>299</v>
      </c>
      <c r="L71" s="32" t="s">
        <v>299</v>
      </c>
      <c r="M71" s="32" t="s">
        <v>299</v>
      </c>
      <c r="P71" s="32" t="s">
        <v>299</v>
      </c>
      <c r="R71" s="22">
        <f t="shared" si="1"/>
        <v>4</v>
      </c>
    </row>
    <row r="72" spans="1:18" ht="16" x14ac:dyDescent="0.2">
      <c r="A72" s="22" t="s">
        <v>433</v>
      </c>
      <c r="B72" s="31" t="s">
        <v>434</v>
      </c>
      <c r="C72" s="32" t="s">
        <v>299</v>
      </c>
      <c r="F72" s="32" t="s">
        <v>299</v>
      </c>
      <c r="L72" s="32" t="s">
        <v>299</v>
      </c>
      <c r="M72" s="32" t="s">
        <v>299</v>
      </c>
      <c r="P72" s="32" t="s">
        <v>299</v>
      </c>
      <c r="R72" s="22">
        <f t="shared" si="1"/>
        <v>5</v>
      </c>
    </row>
    <row r="73" spans="1:18" ht="16" x14ac:dyDescent="0.2">
      <c r="A73" s="22" t="s">
        <v>435</v>
      </c>
      <c r="B73" s="31" t="s">
        <v>436</v>
      </c>
      <c r="R73" s="22">
        <f t="shared" si="1"/>
        <v>0</v>
      </c>
    </row>
    <row r="74" spans="1:18" ht="16" x14ac:dyDescent="0.2">
      <c r="A74" s="22" t="s">
        <v>437</v>
      </c>
      <c r="B74" s="31" t="s">
        <v>438</v>
      </c>
      <c r="R74" s="22">
        <f t="shared" si="1"/>
        <v>0</v>
      </c>
    </row>
    <row r="75" spans="1:18" ht="16" x14ac:dyDescent="0.2">
      <c r="A75" s="22" t="s">
        <v>439</v>
      </c>
      <c r="B75" s="31" t="s">
        <v>440</v>
      </c>
      <c r="R75" s="22">
        <f t="shared" si="1"/>
        <v>0</v>
      </c>
    </row>
    <row r="76" spans="1:18" ht="16" x14ac:dyDescent="0.2">
      <c r="A76" s="22" t="s">
        <v>441</v>
      </c>
      <c r="B76" s="31" t="s">
        <v>376</v>
      </c>
      <c r="R76" s="22">
        <f t="shared" si="1"/>
        <v>0</v>
      </c>
    </row>
    <row r="77" spans="1:18" ht="16" x14ac:dyDescent="0.2">
      <c r="A77" s="22" t="s">
        <v>442</v>
      </c>
      <c r="B77" s="31" t="s">
        <v>434</v>
      </c>
      <c r="C77" s="32" t="s">
        <v>299</v>
      </c>
      <c r="D77" s="32" t="s">
        <v>299</v>
      </c>
      <c r="E77" s="32" t="s">
        <v>299</v>
      </c>
      <c r="F77" s="32" t="s">
        <v>299</v>
      </c>
      <c r="L77" s="32" t="s">
        <v>299</v>
      </c>
      <c r="M77" s="32" t="s">
        <v>299</v>
      </c>
      <c r="N77" s="32" t="s">
        <v>299</v>
      </c>
      <c r="O77" s="32" t="s">
        <v>299</v>
      </c>
      <c r="Q77" s="32" t="s">
        <v>299</v>
      </c>
      <c r="R77" s="22">
        <f t="shared" si="1"/>
        <v>9</v>
      </c>
    </row>
    <row r="78" spans="1:18" ht="16" x14ac:dyDescent="0.2">
      <c r="A78" s="22" t="s">
        <v>444</v>
      </c>
      <c r="B78" s="31" t="s">
        <v>445</v>
      </c>
      <c r="C78" s="32" t="s">
        <v>299</v>
      </c>
      <c r="F78" s="32" t="s">
        <v>299</v>
      </c>
      <c r="L78" s="32" t="s">
        <v>299</v>
      </c>
      <c r="M78" s="32" t="s">
        <v>299</v>
      </c>
      <c r="P78" s="32" t="s">
        <v>299</v>
      </c>
      <c r="R78" s="22">
        <f t="shared" si="1"/>
        <v>5</v>
      </c>
    </row>
    <row r="79" spans="1:18" ht="16" x14ac:dyDescent="0.2">
      <c r="A79" s="22" t="s">
        <v>446</v>
      </c>
      <c r="B79" s="31" t="s">
        <v>447</v>
      </c>
      <c r="D79" s="32" t="s">
        <v>299</v>
      </c>
      <c r="N79" s="32" t="s">
        <v>299</v>
      </c>
      <c r="R79" s="22">
        <f t="shared" si="1"/>
        <v>2</v>
      </c>
    </row>
    <row r="80" spans="1:18" ht="16" x14ac:dyDescent="0.2">
      <c r="A80" s="22" t="s">
        <v>448</v>
      </c>
      <c r="B80" s="31" t="s">
        <v>449</v>
      </c>
      <c r="L80" s="32" t="s">
        <v>299</v>
      </c>
      <c r="M80" s="32" t="s">
        <v>299</v>
      </c>
      <c r="Q80" s="32" t="s">
        <v>299</v>
      </c>
      <c r="R80" s="22">
        <f t="shared" si="1"/>
        <v>3</v>
      </c>
    </row>
    <row r="81" spans="1:18" ht="16" x14ac:dyDescent="0.2">
      <c r="A81" s="22" t="s">
        <v>450</v>
      </c>
      <c r="B81" s="31" t="s">
        <v>451</v>
      </c>
      <c r="L81" s="32" t="s">
        <v>299</v>
      </c>
      <c r="R81" s="22">
        <f t="shared" si="1"/>
        <v>1</v>
      </c>
    </row>
    <row r="82" spans="1:18" ht="16" x14ac:dyDescent="0.2">
      <c r="A82" s="22" t="s">
        <v>452</v>
      </c>
      <c r="B82" s="31" t="s">
        <v>518</v>
      </c>
      <c r="R82" s="22">
        <f t="shared" si="1"/>
        <v>0</v>
      </c>
    </row>
    <row r="83" spans="1:18" ht="16" x14ac:dyDescent="0.2">
      <c r="A83" s="22" t="s">
        <v>454</v>
      </c>
      <c r="B83" s="31" t="s">
        <v>455</v>
      </c>
      <c r="C83" s="32" t="s">
        <v>299</v>
      </c>
      <c r="D83" s="32" t="s">
        <v>299</v>
      </c>
      <c r="E83" s="32" t="s">
        <v>299</v>
      </c>
      <c r="F83" s="32" t="s">
        <v>299</v>
      </c>
      <c r="L83" s="32" t="s">
        <v>299</v>
      </c>
      <c r="M83" s="32" t="s">
        <v>299</v>
      </c>
      <c r="O83" s="32" t="s">
        <v>299</v>
      </c>
      <c r="Q83" s="32" t="s">
        <v>299</v>
      </c>
      <c r="R83" s="22">
        <f t="shared" si="1"/>
        <v>8</v>
      </c>
    </row>
    <row r="84" spans="1:18" ht="16" x14ac:dyDescent="0.2">
      <c r="A84" s="22" t="s">
        <v>456</v>
      </c>
      <c r="B84" s="31" t="s">
        <v>457</v>
      </c>
      <c r="R84" s="22">
        <f t="shared" si="1"/>
        <v>0</v>
      </c>
    </row>
    <row r="85" spans="1:18" ht="16" x14ac:dyDescent="0.2">
      <c r="A85" s="22" t="s">
        <v>458</v>
      </c>
      <c r="B85" s="31" t="s">
        <v>459</v>
      </c>
      <c r="C85" s="32" t="s">
        <v>299</v>
      </c>
      <c r="D85" s="32" t="s">
        <v>299</v>
      </c>
      <c r="L85" s="32" t="s">
        <v>299</v>
      </c>
      <c r="M85" s="32" t="s">
        <v>299</v>
      </c>
      <c r="P85" s="32" t="s">
        <v>299</v>
      </c>
      <c r="Q85" s="32" t="s">
        <v>299</v>
      </c>
      <c r="R85" s="22">
        <f t="shared" si="1"/>
        <v>6</v>
      </c>
    </row>
    <row r="86" spans="1:18" ht="16" x14ac:dyDescent="0.2">
      <c r="A86" s="22" t="s">
        <v>460</v>
      </c>
      <c r="B86" s="31" t="s">
        <v>461</v>
      </c>
      <c r="R86" s="22">
        <f t="shared" si="1"/>
        <v>0</v>
      </c>
    </row>
    <row r="87" spans="1:18" ht="16" x14ac:dyDescent="0.2">
      <c r="A87" s="22" t="s">
        <v>462</v>
      </c>
      <c r="B87" s="31" t="s">
        <v>463</v>
      </c>
      <c r="C87" s="32" t="s">
        <v>299</v>
      </c>
      <c r="D87" s="32" t="s">
        <v>299</v>
      </c>
      <c r="F87" s="32" t="s">
        <v>299</v>
      </c>
      <c r="K87" s="32" t="s">
        <v>299</v>
      </c>
      <c r="L87" s="32" t="s">
        <v>299</v>
      </c>
      <c r="M87" s="32" t="s">
        <v>299</v>
      </c>
      <c r="O87" s="32" t="s">
        <v>299</v>
      </c>
      <c r="P87" s="32" t="s">
        <v>299</v>
      </c>
      <c r="Q87" s="32" t="s">
        <v>299</v>
      </c>
      <c r="R87" s="22">
        <f t="shared" si="1"/>
        <v>9</v>
      </c>
    </row>
    <row r="88" spans="1:18" ht="16" x14ac:dyDescent="0.2">
      <c r="A88" s="22" t="s">
        <v>464</v>
      </c>
      <c r="B88" s="31" t="s">
        <v>465</v>
      </c>
      <c r="C88" s="32" t="s">
        <v>299</v>
      </c>
      <c r="E88" s="32" t="s">
        <v>299</v>
      </c>
      <c r="M88" s="32" t="s">
        <v>299</v>
      </c>
      <c r="O88" s="32" t="s">
        <v>299</v>
      </c>
      <c r="R88" s="22">
        <f t="shared" si="1"/>
        <v>4</v>
      </c>
    </row>
    <row r="89" spans="1:18" ht="16" x14ac:dyDescent="0.2">
      <c r="A89" s="22" t="s">
        <v>466</v>
      </c>
      <c r="B89" s="31" t="s">
        <v>519</v>
      </c>
      <c r="C89" s="32" t="s">
        <v>299</v>
      </c>
      <c r="F89" s="32" t="s">
        <v>299</v>
      </c>
      <c r="L89" s="32" t="s">
        <v>299</v>
      </c>
      <c r="M89" s="32" t="s">
        <v>299</v>
      </c>
      <c r="O89" s="32" t="s">
        <v>299</v>
      </c>
      <c r="Q89" s="32" t="s">
        <v>299</v>
      </c>
      <c r="R89" s="22">
        <f t="shared" si="1"/>
        <v>6</v>
      </c>
    </row>
    <row r="90" spans="1:18" ht="16" x14ac:dyDescent="0.2">
      <c r="A90" s="22" t="s">
        <v>468</v>
      </c>
      <c r="B90" s="31" t="s">
        <v>315</v>
      </c>
      <c r="R90" s="22">
        <f t="shared" si="1"/>
        <v>0</v>
      </c>
    </row>
    <row r="91" spans="1:18" ht="16" x14ac:dyDescent="0.2">
      <c r="A91" s="22" t="s">
        <v>469</v>
      </c>
      <c r="B91" s="31" t="s">
        <v>470</v>
      </c>
      <c r="C91" s="32" t="s">
        <v>299</v>
      </c>
      <c r="D91" s="32" t="s">
        <v>299</v>
      </c>
      <c r="F91" s="32" t="s">
        <v>299</v>
      </c>
      <c r="K91" s="32" t="s">
        <v>299</v>
      </c>
      <c r="L91" s="32" t="s">
        <v>299</v>
      </c>
      <c r="M91" s="32" t="s">
        <v>299</v>
      </c>
      <c r="O91" s="32" t="s">
        <v>299</v>
      </c>
      <c r="P91" s="32" t="s">
        <v>299</v>
      </c>
      <c r="R91" s="22">
        <f t="shared" si="1"/>
        <v>8</v>
      </c>
    </row>
    <row r="92" spans="1:18" ht="16" x14ac:dyDescent="0.2">
      <c r="A92" s="22" t="s">
        <v>471</v>
      </c>
      <c r="B92" s="31" t="s">
        <v>472</v>
      </c>
      <c r="F92" s="32" t="s">
        <v>299</v>
      </c>
      <c r="L92" s="32" t="s">
        <v>299</v>
      </c>
      <c r="R92" s="22">
        <f t="shared" si="1"/>
        <v>2</v>
      </c>
    </row>
    <row r="93" spans="1:18" ht="16" x14ac:dyDescent="0.2">
      <c r="A93" s="22" t="s">
        <v>473</v>
      </c>
      <c r="B93" s="31" t="s">
        <v>474</v>
      </c>
      <c r="C93" s="32" t="s">
        <v>299</v>
      </c>
      <c r="D93" s="32" t="s">
        <v>299</v>
      </c>
      <c r="F93" s="32" t="s">
        <v>299</v>
      </c>
      <c r="L93" s="32" t="s">
        <v>299</v>
      </c>
      <c r="M93" s="32" t="s">
        <v>299</v>
      </c>
      <c r="P93" s="32" t="s">
        <v>299</v>
      </c>
      <c r="R93" s="22">
        <f t="shared" si="1"/>
        <v>6</v>
      </c>
    </row>
    <row r="94" spans="1:18" ht="16" x14ac:dyDescent="0.2">
      <c r="A94" s="22" t="s">
        <v>475</v>
      </c>
      <c r="B94" s="31" t="s">
        <v>520</v>
      </c>
      <c r="L94" s="32" t="s">
        <v>299</v>
      </c>
      <c r="R94" s="22">
        <f t="shared" si="1"/>
        <v>1</v>
      </c>
    </row>
    <row r="95" spans="1:18" ht="16" x14ac:dyDescent="0.2">
      <c r="A95" s="22" t="s">
        <v>477</v>
      </c>
      <c r="B95" s="31" t="s">
        <v>478</v>
      </c>
      <c r="R95" s="22">
        <f t="shared" si="1"/>
        <v>0</v>
      </c>
    </row>
    <row r="96" spans="1:18" ht="16" x14ac:dyDescent="0.2">
      <c r="A96" s="22" t="s">
        <v>479</v>
      </c>
      <c r="B96" s="31" t="s">
        <v>521</v>
      </c>
      <c r="C96" s="32" t="s">
        <v>299</v>
      </c>
      <c r="L96" s="32" t="s">
        <v>299</v>
      </c>
      <c r="M96" s="32" t="s">
        <v>299</v>
      </c>
      <c r="Q96" s="32" t="s">
        <v>299</v>
      </c>
      <c r="R96" s="22">
        <f t="shared" si="1"/>
        <v>4</v>
      </c>
    </row>
    <row r="97" spans="1:18" ht="16" x14ac:dyDescent="0.2">
      <c r="A97" s="22" t="s">
        <v>481</v>
      </c>
      <c r="B97" s="31" t="s">
        <v>382</v>
      </c>
      <c r="R97" s="22">
        <f t="shared" si="1"/>
        <v>0</v>
      </c>
    </row>
    <row r="98" spans="1:18" ht="16" x14ac:dyDescent="0.2">
      <c r="A98" s="22" t="s">
        <v>483</v>
      </c>
      <c r="B98" s="31" t="s">
        <v>484</v>
      </c>
      <c r="C98" s="32" t="s">
        <v>299</v>
      </c>
      <c r="D98" s="32" t="s">
        <v>299</v>
      </c>
      <c r="F98" s="32" t="s">
        <v>299</v>
      </c>
      <c r="K98" s="32" t="s">
        <v>299</v>
      </c>
      <c r="L98" s="32" t="s">
        <v>299</v>
      </c>
      <c r="M98" s="32" t="s">
        <v>299</v>
      </c>
      <c r="P98" s="32" t="s">
        <v>299</v>
      </c>
      <c r="Q98" s="32" t="s">
        <v>299</v>
      </c>
      <c r="R98" s="22">
        <f t="shared" si="1"/>
        <v>8</v>
      </c>
    </row>
    <row r="99" spans="1:18" ht="16" x14ac:dyDescent="0.2">
      <c r="A99" s="22" t="s">
        <v>485</v>
      </c>
      <c r="B99" s="31" t="s">
        <v>96</v>
      </c>
      <c r="L99" s="32" t="s">
        <v>299</v>
      </c>
      <c r="R99" s="22">
        <f t="shared" si="1"/>
        <v>1</v>
      </c>
    </row>
    <row r="100" spans="1:18" ht="16" x14ac:dyDescent="0.2">
      <c r="A100" s="22" t="s">
        <v>486</v>
      </c>
      <c r="B100" s="31" t="s">
        <v>487</v>
      </c>
      <c r="R100" s="22">
        <f t="shared" si="1"/>
        <v>0</v>
      </c>
    </row>
    <row r="101" spans="1:18" ht="16" x14ac:dyDescent="0.2">
      <c r="A101" s="22" t="s">
        <v>488</v>
      </c>
      <c r="B101" s="31" t="s">
        <v>489</v>
      </c>
      <c r="R101" s="22">
        <f t="shared" si="1"/>
        <v>0</v>
      </c>
    </row>
    <row r="102" spans="1:18" x14ac:dyDescent="0.2">
      <c r="R102" s="22">
        <f>SUM(R2:R101)/100</f>
        <v>4.0199999999999996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55F5-7328-FB45-AA75-3ADC034F2E56}">
  <dimension ref="A1:Q104"/>
  <sheetViews>
    <sheetView workbookViewId="0">
      <pane ySplit="1" topLeftCell="A58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8" style="22" customWidth="1"/>
    <col min="2" max="2" width="28" style="22" customWidth="1"/>
    <col min="3" max="14" width="22" style="22" customWidth="1"/>
    <col min="15" max="16384" width="8.83203125" style="22"/>
  </cols>
  <sheetData>
    <row r="1" spans="1:17" ht="32" x14ac:dyDescent="0.2">
      <c r="A1" s="30" t="s">
        <v>490</v>
      </c>
      <c r="B1" s="30" t="s">
        <v>491</v>
      </c>
      <c r="C1" s="30" t="s">
        <v>492</v>
      </c>
      <c r="D1" s="30" t="s">
        <v>493</v>
      </c>
      <c r="E1" s="30" t="s">
        <v>494</v>
      </c>
      <c r="F1" s="30" t="s">
        <v>495</v>
      </c>
      <c r="G1" s="30" t="s">
        <v>496</v>
      </c>
      <c r="H1" s="30" t="s">
        <v>497</v>
      </c>
      <c r="I1" s="30" t="s">
        <v>498</v>
      </c>
      <c r="J1" s="30" t="s">
        <v>499</v>
      </c>
      <c r="K1" s="30" t="s">
        <v>500</v>
      </c>
      <c r="L1" s="30" t="s">
        <v>263</v>
      </c>
      <c r="M1" s="30" t="s">
        <v>135</v>
      </c>
      <c r="N1" s="30" t="s">
        <v>265</v>
      </c>
    </row>
    <row r="2" spans="1:17" ht="16" x14ac:dyDescent="0.2">
      <c r="A2" s="22" t="s">
        <v>297</v>
      </c>
      <c r="B2" s="31" t="s">
        <v>501</v>
      </c>
      <c r="C2" s="32" t="s">
        <v>299</v>
      </c>
      <c r="D2" s="32" t="s">
        <v>299</v>
      </c>
      <c r="E2" s="45" t="s">
        <v>652</v>
      </c>
      <c r="F2" s="32" t="s">
        <v>299</v>
      </c>
      <c r="G2" s="45" t="s">
        <v>652</v>
      </c>
      <c r="H2" s="45" t="s">
        <v>652</v>
      </c>
      <c r="J2" s="45" t="s">
        <v>652</v>
      </c>
      <c r="K2" s="32" t="s">
        <v>299</v>
      </c>
      <c r="L2" s="32" t="s">
        <v>299</v>
      </c>
      <c r="M2" s="32" t="s">
        <v>299</v>
      </c>
      <c r="N2" s="32" t="s">
        <v>299</v>
      </c>
      <c r="O2" s="32">
        <f t="shared" ref="O2:O65" si="0">COUNTIF(C2:N2, "FP")</f>
        <v>7</v>
      </c>
      <c r="P2" s="32">
        <f t="shared" ref="P2:P65" si="1">COUNTIF(C2:N2, "XX")</f>
        <v>4</v>
      </c>
      <c r="Q2" s="22">
        <f>O2+P2</f>
        <v>11</v>
      </c>
    </row>
    <row r="3" spans="1:17" ht="16" x14ac:dyDescent="0.2">
      <c r="A3" s="22" t="s">
        <v>300</v>
      </c>
      <c r="B3" s="31" t="s">
        <v>1</v>
      </c>
      <c r="O3" s="32">
        <f t="shared" si="0"/>
        <v>0</v>
      </c>
      <c r="P3" s="32">
        <f t="shared" si="1"/>
        <v>0</v>
      </c>
      <c r="Q3" s="22">
        <f t="shared" ref="Q3:Q66" si="2">O3+P3</f>
        <v>0</v>
      </c>
    </row>
    <row r="4" spans="1:17" ht="16" x14ac:dyDescent="0.2">
      <c r="A4" s="22" t="s">
        <v>302</v>
      </c>
      <c r="B4" s="31" t="s">
        <v>303</v>
      </c>
      <c r="C4" s="32" t="s">
        <v>299</v>
      </c>
      <c r="D4" s="32" t="s">
        <v>299</v>
      </c>
      <c r="E4" s="45" t="s">
        <v>652</v>
      </c>
      <c r="J4" s="45" t="s">
        <v>652</v>
      </c>
      <c r="K4" s="32" t="s">
        <v>299</v>
      </c>
      <c r="O4" s="32">
        <f t="shared" si="0"/>
        <v>3</v>
      </c>
      <c r="P4" s="32">
        <f t="shared" si="1"/>
        <v>2</v>
      </c>
      <c r="Q4" s="22">
        <f t="shared" si="2"/>
        <v>5</v>
      </c>
    </row>
    <row r="5" spans="1:17" ht="16" x14ac:dyDescent="0.2">
      <c r="A5" s="22" t="s">
        <v>304</v>
      </c>
      <c r="B5" s="31" t="s">
        <v>305</v>
      </c>
      <c r="C5" s="32" t="s">
        <v>299</v>
      </c>
      <c r="D5" s="45" t="s">
        <v>652</v>
      </c>
      <c r="E5" s="45" t="s">
        <v>652</v>
      </c>
      <c r="O5" s="32">
        <f t="shared" si="0"/>
        <v>1</v>
      </c>
      <c r="P5" s="32">
        <f t="shared" si="1"/>
        <v>2</v>
      </c>
      <c r="Q5" s="22">
        <f t="shared" si="2"/>
        <v>3</v>
      </c>
    </row>
    <row r="6" spans="1:17" ht="16" x14ac:dyDescent="0.2">
      <c r="A6" s="22" t="s">
        <v>306</v>
      </c>
      <c r="B6" s="31" t="s">
        <v>307</v>
      </c>
      <c r="C6" s="45" t="s">
        <v>652</v>
      </c>
      <c r="D6" s="45" t="s">
        <v>652</v>
      </c>
      <c r="E6" s="45" t="s">
        <v>652</v>
      </c>
      <c r="F6" s="45" t="s">
        <v>652</v>
      </c>
      <c r="H6" s="45" t="s">
        <v>652</v>
      </c>
      <c r="K6" s="45" t="s">
        <v>652</v>
      </c>
      <c r="M6" s="45" t="s">
        <v>652</v>
      </c>
      <c r="O6" s="32">
        <f t="shared" si="0"/>
        <v>0</v>
      </c>
      <c r="P6" s="32">
        <f t="shared" si="1"/>
        <v>7</v>
      </c>
      <c r="Q6" s="22">
        <f t="shared" si="2"/>
        <v>7</v>
      </c>
    </row>
    <row r="7" spans="1:17" ht="16" x14ac:dyDescent="0.2">
      <c r="A7" s="22" t="s">
        <v>308</v>
      </c>
      <c r="B7" s="31" t="s">
        <v>309</v>
      </c>
      <c r="C7" s="45" t="s">
        <v>652</v>
      </c>
      <c r="D7" s="32" t="s">
        <v>299</v>
      </c>
      <c r="E7" s="45" t="s">
        <v>652</v>
      </c>
      <c r="K7" s="32" t="s">
        <v>299</v>
      </c>
      <c r="O7" s="32">
        <f t="shared" si="0"/>
        <v>2</v>
      </c>
      <c r="P7" s="32">
        <f t="shared" si="1"/>
        <v>2</v>
      </c>
      <c r="Q7" s="22">
        <f t="shared" si="2"/>
        <v>4</v>
      </c>
    </row>
    <row r="8" spans="1:17" ht="16" x14ac:dyDescent="0.2">
      <c r="A8" s="22" t="s">
        <v>310</v>
      </c>
      <c r="B8" s="31" t="s">
        <v>311</v>
      </c>
      <c r="C8" s="32" t="s">
        <v>299</v>
      </c>
      <c r="D8" s="32" t="s">
        <v>299</v>
      </c>
      <c r="E8" s="45" t="s">
        <v>652</v>
      </c>
      <c r="F8" s="32" t="s">
        <v>299</v>
      </c>
      <c r="J8" s="45" t="s">
        <v>652</v>
      </c>
      <c r="K8" s="32" t="s">
        <v>299</v>
      </c>
      <c r="O8" s="32">
        <f t="shared" si="0"/>
        <v>4</v>
      </c>
      <c r="P8" s="32">
        <f t="shared" si="1"/>
        <v>2</v>
      </c>
      <c r="Q8" s="22">
        <f t="shared" si="2"/>
        <v>6</v>
      </c>
    </row>
    <row r="9" spans="1:17" ht="16" x14ac:dyDescent="0.2">
      <c r="A9" s="22" t="s">
        <v>312</v>
      </c>
      <c r="B9" s="31" t="s">
        <v>325</v>
      </c>
      <c r="C9" s="32" t="s">
        <v>299</v>
      </c>
      <c r="D9" s="32" t="s">
        <v>299</v>
      </c>
      <c r="E9" s="45" t="s">
        <v>652</v>
      </c>
      <c r="F9" s="32" t="s">
        <v>299</v>
      </c>
      <c r="J9" s="45" t="s">
        <v>652</v>
      </c>
      <c r="K9" s="32" t="s">
        <v>299</v>
      </c>
      <c r="O9" s="32">
        <f t="shared" si="0"/>
        <v>4</v>
      </c>
      <c r="P9" s="32">
        <f t="shared" si="1"/>
        <v>2</v>
      </c>
      <c r="Q9" s="22">
        <f t="shared" si="2"/>
        <v>6</v>
      </c>
    </row>
    <row r="10" spans="1:17" ht="16" x14ac:dyDescent="0.2">
      <c r="A10" s="22" t="s">
        <v>314</v>
      </c>
      <c r="B10" s="31" t="s">
        <v>315</v>
      </c>
      <c r="C10" s="32" t="s">
        <v>299</v>
      </c>
      <c r="D10" s="45" t="s">
        <v>652</v>
      </c>
      <c r="E10" s="45" t="s">
        <v>652</v>
      </c>
      <c r="F10" s="32" t="s">
        <v>299</v>
      </c>
      <c r="J10" s="45" t="s">
        <v>652</v>
      </c>
      <c r="K10" s="32" t="s">
        <v>299</v>
      </c>
      <c r="O10" s="32">
        <f t="shared" si="0"/>
        <v>3</v>
      </c>
      <c r="P10" s="32">
        <f t="shared" si="1"/>
        <v>3</v>
      </c>
      <c r="Q10" s="22">
        <f t="shared" si="2"/>
        <v>6</v>
      </c>
    </row>
    <row r="11" spans="1:17" ht="16" x14ac:dyDescent="0.2">
      <c r="A11" s="22" t="s">
        <v>316</v>
      </c>
      <c r="B11" s="31" t="s">
        <v>502</v>
      </c>
      <c r="C11" s="45" t="s">
        <v>652</v>
      </c>
      <c r="D11" s="45" t="s">
        <v>652</v>
      </c>
      <c r="E11" s="45" t="s">
        <v>652</v>
      </c>
      <c r="F11" s="45" t="s">
        <v>652</v>
      </c>
      <c r="H11" s="45" t="s">
        <v>652</v>
      </c>
      <c r="K11" s="45" t="s">
        <v>652</v>
      </c>
      <c r="M11" s="45" t="s">
        <v>652</v>
      </c>
      <c r="O11" s="32">
        <f t="shared" si="0"/>
        <v>0</v>
      </c>
      <c r="P11" s="32">
        <f t="shared" si="1"/>
        <v>7</v>
      </c>
      <c r="Q11" s="22">
        <f t="shared" si="2"/>
        <v>7</v>
      </c>
    </row>
    <row r="12" spans="1:17" ht="16" x14ac:dyDescent="0.2">
      <c r="A12" s="22" t="s">
        <v>318</v>
      </c>
      <c r="B12" s="31" t="s">
        <v>319</v>
      </c>
      <c r="C12" s="45" t="s">
        <v>652</v>
      </c>
      <c r="D12" s="45" t="s">
        <v>652</v>
      </c>
      <c r="E12" s="45" t="s">
        <v>652</v>
      </c>
      <c r="F12" s="32" t="s">
        <v>299</v>
      </c>
      <c r="H12" s="32" t="s">
        <v>299</v>
      </c>
      <c r="J12" s="45" t="s">
        <v>652</v>
      </c>
      <c r="K12" s="32" t="s">
        <v>299</v>
      </c>
      <c r="M12" s="45" t="s">
        <v>652</v>
      </c>
      <c r="O12" s="32">
        <f t="shared" si="0"/>
        <v>3</v>
      </c>
      <c r="P12" s="32">
        <f t="shared" si="1"/>
        <v>5</v>
      </c>
      <c r="Q12" s="22">
        <f t="shared" si="2"/>
        <v>8</v>
      </c>
    </row>
    <row r="13" spans="1:17" ht="16" x14ac:dyDescent="0.2">
      <c r="A13" s="22" t="s">
        <v>320</v>
      </c>
      <c r="B13" s="31" t="s">
        <v>321</v>
      </c>
      <c r="C13" s="32" t="s">
        <v>299</v>
      </c>
      <c r="D13" s="45" t="s">
        <v>652</v>
      </c>
      <c r="E13" s="45" t="s">
        <v>652</v>
      </c>
      <c r="J13" s="45" t="s">
        <v>652</v>
      </c>
      <c r="K13" s="32" t="s">
        <v>299</v>
      </c>
      <c r="O13" s="32">
        <f t="shared" si="0"/>
        <v>2</v>
      </c>
      <c r="P13" s="32">
        <f t="shared" si="1"/>
        <v>3</v>
      </c>
      <c r="Q13" s="22">
        <f t="shared" si="2"/>
        <v>5</v>
      </c>
    </row>
    <row r="14" spans="1:17" ht="16" x14ac:dyDescent="0.2">
      <c r="A14" s="22" t="s">
        <v>322</v>
      </c>
      <c r="B14" s="31" t="s">
        <v>323</v>
      </c>
      <c r="C14" s="32" t="s">
        <v>299</v>
      </c>
      <c r="D14" s="45" t="s">
        <v>652</v>
      </c>
      <c r="E14" s="45" t="s">
        <v>652</v>
      </c>
      <c r="F14" s="32" t="s">
        <v>299</v>
      </c>
      <c r="G14" s="45" t="s">
        <v>652</v>
      </c>
      <c r="H14" s="45" t="s">
        <v>652</v>
      </c>
      <c r="J14" s="45" t="s">
        <v>652</v>
      </c>
      <c r="K14" s="32" t="s">
        <v>299</v>
      </c>
      <c r="L14" s="45" t="s">
        <v>652</v>
      </c>
      <c r="M14" s="32" t="s">
        <v>299</v>
      </c>
      <c r="N14" s="32" t="s">
        <v>299</v>
      </c>
      <c r="O14" s="32">
        <f t="shared" si="0"/>
        <v>5</v>
      </c>
      <c r="P14" s="32">
        <f t="shared" si="1"/>
        <v>6</v>
      </c>
      <c r="Q14" s="22">
        <f t="shared" si="2"/>
        <v>11</v>
      </c>
    </row>
    <row r="15" spans="1:17" ht="16" x14ac:dyDescent="0.2">
      <c r="A15" s="22" t="s">
        <v>324</v>
      </c>
      <c r="B15" s="31" t="s">
        <v>325</v>
      </c>
      <c r="C15" s="32" t="s">
        <v>299</v>
      </c>
      <c r="D15" s="32" t="s">
        <v>299</v>
      </c>
      <c r="E15" s="45" t="s">
        <v>652</v>
      </c>
      <c r="F15" s="45" t="s">
        <v>652</v>
      </c>
      <c r="H15" s="45" t="s">
        <v>652</v>
      </c>
      <c r="J15" s="45" t="s">
        <v>652</v>
      </c>
      <c r="K15" s="32" t="s">
        <v>299</v>
      </c>
      <c r="M15" s="32" t="s">
        <v>299</v>
      </c>
      <c r="O15" s="32">
        <f t="shared" si="0"/>
        <v>4</v>
      </c>
      <c r="P15" s="32">
        <f t="shared" si="1"/>
        <v>4</v>
      </c>
      <c r="Q15" s="22">
        <f t="shared" si="2"/>
        <v>8</v>
      </c>
    </row>
    <row r="16" spans="1:17" ht="16" x14ac:dyDescent="0.2">
      <c r="A16" s="22" t="s">
        <v>326</v>
      </c>
      <c r="B16" s="31" t="s">
        <v>303</v>
      </c>
      <c r="C16" s="45" t="s">
        <v>652</v>
      </c>
      <c r="D16" s="45" t="s">
        <v>652</v>
      </c>
      <c r="E16" s="45" t="s">
        <v>652</v>
      </c>
      <c r="F16" s="32" t="s">
        <v>299</v>
      </c>
      <c r="H16" s="45" t="s">
        <v>652</v>
      </c>
      <c r="J16" s="45" t="s">
        <v>652</v>
      </c>
      <c r="K16" s="32" t="s">
        <v>299</v>
      </c>
      <c r="M16" s="45" t="s">
        <v>652</v>
      </c>
      <c r="O16" s="32">
        <f t="shared" si="0"/>
        <v>2</v>
      </c>
      <c r="P16" s="32">
        <f t="shared" si="1"/>
        <v>6</v>
      </c>
      <c r="Q16" s="22">
        <f t="shared" si="2"/>
        <v>8</v>
      </c>
    </row>
    <row r="17" spans="1:17" ht="16" x14ac:dyDescent="0.2">
      <c r="A17" s="22" t="s">
        <v>328</v>
      </c>
      <c r="B17" s="31" t="s">
        <v>503</v>
      </c>
      <c r="C17" s="32" t="s">
        <v>299</v>
      </c>
      <c r="D17" s="32" t="s">
        <v>299</v>
      </c>
      <c r="E17" s="45" t="s">
        <v>652</v>
      </c>
      <c r="F17" s="32" t="s">
        <v>299</v>
      </c>
      <c r="K17" s="32" t="s">
        <v>299</v>
      </c>
      <c r="O17" s="32">
        <f t="shared" si="0"/>
        <v>4</v>
      </c>
      <c r="P17" s="32">
        <f t="shared" si="1"/>
        <v>1</v>
      </c>
      <c r="Q17" s="22">
        <f t="shared" si="2"/>
        <v>5</v>
      </c>
    </row>
    <row r="18" spans="1:17" ht="16" x14ac:dyDescent="0.2">
      <c r="A18" s="22" t="s">
        <v>330</v>
      </c>
      <c r="B18" s="31" t="s">
        <v>504</v>
      </c>
      <c r="C18" s="32" t="s">
        <v>299</v>
      </c>
      <c r="D18" s="32" t="s">
        <v>299</v>
      </c>
      <c r="E18" s="45" t="s">
        <v>652</v>
      </c>
      <c r="K18" s="32" t="s">
        <v>299</v>
      </c>
      <c r="O18" s="32">
        <f t="shared" si="0"/>
        <v>3</v>
      </c>
      <c r="P18" s="32">
        <f t="shared" si="1"/>
        <v>1</v>
      </c>
      <c r="Q18" s="22">
        <f t="shared" si="2"/>
        <v>4</v>
      </c>
    </row>
    <row r="19" spans="1:17" ht="16" x14ac:dyDescent="0.2">
      <c r="A19" s="22" t="s">
        <v>332</v>
      </c>
      <c r="B19" s="31" t="s">
        <v>505</v>
      </c>
      <c r="C19" s="45" t="s">
        <v>652</v>
      </c>
      <c r="D19" s="45" t="s">
        <v>652</v>
      </c>
      <c r="E19" s="45" t="s">
        <v>652</v>
      </c>
      <c r="F19" s="45" t="s">
        <v>652</v>
      </c>
      <c r="K19" s="45" t="s">
        <v>652</v>
      </c>
      <c r="O19" s="32">
        <f t="shared" si="0"/>
        <v>0</v>
      </c>
      <c r="P19" s="32">
        <f t="shared" si="1"/>
        <v>5</v>
      </c>
      <c r="Q19" s="22">
        <f t="shared" si="2"/>
        <v>5</v>
      </c>
    </row>
    <row r="20" spans="1:17" ht="16" x14ac:dyDescent="0.2">
      <c r="A20" s="22" t="s">
        <v>334</v>
      </c>
      <c r="B20" s="31" t="s">
        <v>506</v>
      </c>
      <c r="C20" s="32" t="s">
        <v>299</v>
      </c>
      <c r="D20" s="32" t="s">
        <v>299</v>
      </c>
      <c r="E20" s="45" t="s">
        <v>652</v>
      </c>
      <c r="K20" s="32" t="s">
        <v>299</v>
      </c>
      <c r="O20" s="32">
        <f t="shared" si="0"/>
        <v>3</v>
      </c>
      <c r="P20" s="32">
        <f t="shared" si="1"/>
        <v>1</v>
      </c>
      <c r="Q20" s="22">
        <f t="shared" si="2"/>
        <v>4</v>
      </c>
    </row>
    <row r="21" spans="1:17" ht="16" x14ac:dyDescent="0.2">
      <c r="A21" s="22" t="s">
        <v>336</v>
      </c>
      <c r="B21" s="31" t="s">
        <v>337</v>
      </c>
      <c r="C21" s="45" t="s">
        <v>652</v>
      </c>
      <c r="D21" s="45" t="s">
        <v>652</v>
      </c>
      <c r="E21" s="45" t="s">
        <v>652</v>
      </c>
      <c r="F21" s="45" t="s">
        <v>652</v>
      </c>
      <c r="K21" s="32" t="s">
        <v>299</v>
      </c>
      <c r="O21" s="32">
        <f t="shared" si="0"/>
        <v>1</v>
      </c>
      <c r="P21" s="32">
        <f t="shared" si="1"/>
        <v>4</v>
      </c>
      <c r="Q21" s="22">
        <f t="shared" si="2"/>
        <v>5</v>
      </c>
    </row>
    <row r="22" spans="1:17" ht="16" x14ac:dyDescent="0.2">
      <c r="A22" s="22" t="s">
        <v>338</v>
      </c>
      <c r="B22" s="31" t="s">
        <v>339</v>
      </c>
      <c r="C22" s="32" t="s">
        <v>299</v>
      </c>
      <c r="D22" s="32" t="s">
        <v>299</v>
      </c>
      <c r="E22" s="45" t="s">
        <v>652</v>
      </c>
      <c r="F22" s="32" t="s">
        <v>299</v>
      </c>
      <c r="J22" s="45" t="s">
        <v>652</v>
      </c>
      <c r="K22" s="32" t="s">
        <v>299</v>
      </c>
      <c r="O22" s="32">
        <f t="shared" si="0"/>
        <v>4</v>
      </c>
      <c r="P22" s="32">
        <f t="shared" si="1"/>
        <v>2</v>
      </c>
      <c r="Q22" s="22">
        <f t="shared" si="2"/>
        <v>6</v>
      </c>
    </row>
    <row r="23" spans="1:17" ht="16" x14ac:dyDescent="0.2">
      <c r="A23" s="22" t="s">
        <v>340</v>
      </c>
      <c r="B23" s="31" t="s">
        <v>341</v>
      </c>
      <c r="C23" s="45" t="s">
        <v>652</v>
      </c>
      <c r="D23" s="45" t="s">
        <v>652</v>
      </c>
      <c r="E23" s="45" t="s">
        <v>652</v>
      </c>
      <c r="F23" s="45" t="s">
        <v>652</v>
      </c>
      <c r="G23" s="45" t="s">
        <v>652</v>
      </c>
      <c r="H23" s="45" t="s">
        <v>652</v>
      </c>
      <c r="I23" s="45" t="s">
        <v>652</v>
      </c>
      <c r="J23" s="45" t="s">
        <v>652</v>
      </c>
      <c r="K23" s="45" t="s">
        <v>652</v>
      </c>
      <c r="L23" s="45" t="s">
        <v>652</v>
      </c>
      <c r="M23" s="45" t="s">
        <v>652</v>
      </c>
      <c r="N23" s="45" t="s">
        <v>652</v>
      </c>
      <c r="O23" s="32">
        <f t="shared" si="0"/>
        <v>0</v>
      </c>
      <c r="P23" s="32">
        <f t="shared" si="1"/>
        <v>12</v>
      </c>
      <c r="Q23" s="22">
        <f t="shared" si="2"/>
        <v>12</v>
      </c>
    </row>
    <row r="24" spans="1:17" ht="16" x14ac:dyDescent="0.2">
      <c r="A24" s="22" t="s">
        <v>342</v>
      </c>
      <c r="B24" s="31" t="s">
        <v>343</v>
      </c>
      <c r="C24" s="32" t="s">
        <v>299</v>
      </c>
      <c r="D24" s="32" t="s">
        <v>299</v>
      </c>
      <c r="E24" s="45" t="s">
        <v>652</v>
      </c>
      <c r="G24" s="45" t="s">
        <v>652</v>
      </c>
      <c r="J24" s="45" t="s">
        <v>652</v>
      </c>
      <c r="K24" s="32" t="s">
        <v>299</v>
      </c>
      <c r="M24" s="32" t="s">
        <v>299</v>
      </c>
      <c r="O24" s="32">
        <f t="shared" si="0"/>
        <v>4</v>
      </c>
      <c r="P24" s="32">
        <f t="shared" si="1"/>
        <v>3</v>
      </c>
      <c r="Q24" s="22">
        <f t="shared" si="2"/>
        <v>7</v>
      </c>
    </row>
    <row r="25" spans="1:17" ht="16" x14ac:dyDescent="0.2">
      <c r="A25" s="22" t="s">
        <v>344</v>
      </c>
      <c r="B25" s="31" t="s">
        <v>345</v>
      </c>
      <c r="C25" s="32" t="s">
        <v>299</v>
      </c>
      <c r="D25" s="45" t="s">
        <v>652</v>
      </c>
      <c r="E25" s="45" t="s">
        <v>652</v>
      </c>
      <c r="F25" s="32" t="s">
        <v>299</v>
      </c>
      <c r="J25" s="45" t="s">
        <v>652</v>
      </c>
      <c r="K25" s="32" t="s">
        <v>299</v>
      </c>
      <c r="O25" s="32">
        <f t="shared" si="0"/>
        <v>3</v>
      </c>
      <c r="P25" s="32">
        <f t="shared" si="1"/>
        <v>3</v>
      </c>
      <c r="Q25" s="22">
        <f t="shared" si="2"/>
        <v>6</v>
      </c>
    </row>
    <row r="26" spans="1:17" ht="16" x14ac:dyDescent="0.2">
      <c r="A26" s="22" t="s">
        <v>346</v>
      </c>
      <c r="B26" s="31" t="s">
        <v>347</v>
      </c>
      <c r="C26" s="32" t="s">
        <v>299</v>
      </c>
      <c r="D26" s="45" t="s">
        <v>652</v>
      </c>
      <c r="E26" s="45" t="s">
        <v>652</v>
      </c>
      <c r="F26" s="32" t="s">
        <v>299</v>
      </c>
      <c r="G26" s="45" t="s">
        <v>652</v>
      </c>
      <c r="J26" s="45" t="s">
        <v>652</v>
      </c>
      <c r="K26" s="32" t="s">
        <v>299</v>
      </c>
      <c r="L26" s="45" t="s">
        <v>652</v>
      </c>
      <c r="M26" s="45" t="s">
        <v>652</v>
      </c>
      <c r="O26" s="32">
        <f t="shared" si="0"/>
        <v>3</v>
      </c>
      <c r="P26" s="32">
        <f t="shared" si="1"/>
        <v>6</v>
      </c>
      <c r="Q26" s="22">
        <f t="shared" si="2"/>
        <v>9</v>
      </c>
    </row>
    <row r="27" spans="1:17" ht="16" x14ac:dyDescent="0.2">
      <c r="A27" s="22" t="s">
        <v>348</v>
      </c>
      <c r="B27" s="31" t="s">
        <v>507</v>
      </c>
      <c r="C27" s="32" t="s">
        <v>299</v>
      </c>
      <c r="D27" s="32" t="s">
        <v>299</v>
      </c>
      <c r="E27" s="45" t="s">
        <v>652</v>
      </c>
      <c r="K27" s="32" t="s">
        <v>299</v>
      </c>
      <c r="O27" s="32">
        <f t="shared" si="0"/>
        <v>3</v>
      </c>
      <c r="P27" s="32">
        <f t="shared" si="1"/>
        <v>1</v>
      </c>
      <c r="Q27" s="22">
        <f t="shared" si="2"/>
        <v>4</v>
      </c>
    </row>
    <row r="28" spans="1:17" ht="16" x14ac:dyDescent="0.2">
      <c r="A28" s="22" t="s">
        <v>350</v>
      </c>
      <c r="B28" s="31" t="s">
        <v>508</v>
      </c>
      <c r="C28" s="32" t="s">
        <v>299</v>
      </c>
      <c r="D28" s="45" t="s">
        <v>652</v>
      </c>
      <c r="E28" s="45" t="s">
        <v>652</v>
      </c>
      <c r="J28" s="45" t="s">
        <v>652</v>
      </c>
      <c r="K28" s="32" t="s">
        <v>299</v>
      </c>
      <c r="L28" s="45" t="s">
        <v>652</v>
      </c>
      <c r="O28" s="32">
        <f t="shared" si="0"/>
        <v>2</v>
      </c>
      <c r="P28" s="32">
        <f t="shared" si="1"/>
        <v>4</v>
      </c>
      <c r="Q28" s="22">
        <f t="shared" si="2"/>
        <v>6</v>
      </c>
    </row>
    <row r="29" spans="1:17" ht="16" x14ac:dyDescent="0.2">
      <c r="A29" s="22" t="s">
        <v>352</v>
      </c>
      <c r="B29" s="31" t="s">
        <v>353</v>
      </c>
      <c r="C29" s="45" t="s">
        <v>652</v>
      </c>
      <c r="E29" s="45" t="s">
        <v>652</v>
      </c>
      <c r="O29" s="32">
        <f t="shared" si="0"/>
        <v>0</v>
      </c>
      <c r="P29" s="32">
        <f t="shared" si="1"/>
        <v>2</v>
      </c>
      <c r="Q29" s="22">
        <f t="shared" si="2"/>
        <v>2</v>
      </c>
    </row>
    <row r="30" spans="1:17" ht="16" x14ac:dyDescent="0.2">
      <c r="A30" s="22" t="s">
        <v>354</v>
      </c>
      <c r="B30" s="31" t="s">
        <v>355</v>
      </c>
      <c r="C30" s="32" t="s">
        <v>299</v>
      </c>
      <c r="D30" s="32" t="s">
        <v>299</v>
      </c>
      <c r="E30" s="45" t="s">
        <v>652</v>
      </c>
      <c r="F30" s="32" t="s">
        <v>299</v>
      </c>
      <c r="K30" s="32" t="s">
        <v>299</v>
      </c>
      <c r="O30" s="32">
        <f t="shared" si="0"/>
        <v>4</v>
      </c>
      <c r="P30" s="32">
        <f t="shared" si="1"/>
        <v>1</v>
      </c>
      <c r="Q30" s="22">
        <f t="shared" si="2"/>
        <v>5</v>
      </c>
    </row>
    <row r="31" spans="1:17" ht="16" x14ac:dyDescent="0.2">
      <c r="A31" s="22" t="s">
        <v>356</v>
      </c>
      <c r="B31" s="31" t="s">
        <v>357</v>
      </c>
      <c r="C31" s="32" t="s">
        <v>299</v>
      </c>
      <c r="D31" s="32" t="s">
        <v>299</v>
      </c>
      <c r="E31" s="32" t="s">
        <v>299</v>
      </c>
      <c r="F31" s="32" t="s">
        <v>299</v>
      </c>
      <c r="K31" s="32" t="s">
        <v>299</v>
      </c>
      <c r="O31" s="32">
        <f t="shared" si="0"/>
        <v>5</v>
      </c>
      <c r="P31" s="32">
        <f t="shared" si="1"/>
        <v>0</v>
      </c>
      <c r="Q31" s="22">
        <f t="shared" si="2"/>
        <v>5</v>
      </c>
    </row>
    <row r="32" spans="1:17" ht="16" x14ac:dyDescent="0.2">
      <c r="A32" s="22" t="s">
        <v>358</v>
      </c>
      <c r="B32" s="31" t="s">
        <v>359</v>
      </c>
      <c r="C32" s="45" t="s">
        <v>652</v>
      </c>
      <c r="D32" s="45" t="s">
        <v>652</v>
      </c>
      <c r="E32" s="45" t="s">
        <v>652</v>
      </c>
      <c r="F32" s="32" t="s">
        <v>299</v>
      </c>
      <c r="H32" s="45" t="s">
        <v>652</v>
      </c>
      <c r="J32" s="45" t="s">
        <v>652</v>
      </c>
      <c r="K32" s="45" t="s">
        <v>652</v>
      </c>
      <c r="M32" s="45" t="s">
        <v>652</v>
      </c>
      <c r="O32" s="32">
        <f t="shared" si="0"/>
        <v>1</v>
      </c>
      <c r="P32" s="32">
        <f t="shared" si="1"/>
        <v>7</v>
      </c>
      <c r="Q32" s="22">
        <f t="shared" si="2"/>
        <v>8</v>
      </c>
    </row>
    <row r="33" spans="1:17" ht="16" x14ac:dyDescent="0.2">
      <c r="A33" s="22" t="s">
        <v>360</v>
      </c>
      <c r="B33" s="31" t="s">
        <v>361</v>
      </c>
      <c r="C33" s="32" t="s">
        <v>299</v>
      </c>
      <c r="D33" s="45" t="s">
        <v>652</v>
      </c>
      <c r="E33" s="32" t="s">
        <v>299</v>
      </c>
      <c r="J33" s="45" t="s">
        <v>652</v>
      </c>
      <c r="K33" s="32" t="s">
        <v>299</v>
      </c>
      <c r="O33" s="32">
        <f t="shared" si="0"/>
        <v>3</v>
      </c>
      <c r="P33" s="32">
        <f t="shared" si="1"/>
        <v>2</v>
      </c>
      <c r="Q33" s="22">
        <f t="shared" si="2"/>
        <v>5</v>
      </c>
    </row>
    <row r="34" spans="1:17" ht="16" x14ac:dyDescent="0.2">
      <c r="A34" s="22" t="s">
        <v>362</v>
      </c>
      <c r="B34" s="31" t="s">
        <v>363</v>
      </c>
      <c r="C34" s="32" t="s">
        <v>299</v>
      </c>
      <c r="D34" s="32" t="s">
        <v>299</v>
      </c>
      <c r="E34" s="45" t="s">
        <v>652</v>
      </c>
      <c r="F34" s="32" t="s">
        <v>299</v>
      </c>
      <c r="G34" s="45" t="s">
        <v>652</v>
      </c>
      <c r="J34" s="45" t="s">
        <v>652</v>
      </c>
      <c r="K34" s="32" t="s">
        <v>299</v>
      </c>
      <c r="M34" s="32" t="s">
        <v>299</v>
      </c>
      <c r="N34" s="32" t="s">
        <v>299</v>
      </c>
      <c r="O34" s="32">
        <f t="shared" si="0"/>
        <v>6</v>
      </c>
      <c r="P34" s="32">
        <f t="shared" si="1"/>
        <v>3</v>
      </c>
      <c r="Q34" s="22">
        <f t="shared" si="2"/>
        <v>9</v>
      </c>
    </row>
    <row r="35" spans="1:17" ht="16" x14ac:dyDescent="0.2">
      <c r="A35" s="22" t="s">
        <v>364</v>
      </c>
      <c r="B35" s="31" t="s">
        <v>365</v>
      </c>
      <c r="C35" s="32" t="s">
        <v>299</v>
      </c>
      <c r="D35" s="32" t="s">
        <v>299</v>
      </c>
      <c r="E35" s="45" t="s">
        <v>652</v>
      </c>
      <c r="F35" s="32" t="s">
        <v>299</v>
      </c>
      <c r="J35" s="45" t="s">
        <v>652</v>
      </c>
      <c r="K35" s="32" t="s">
        <v>299</v>
      </c>
      <c r="O35" s="32">
        <f t="shared" si="0"/>
        <v>4</v>
      </c>
      <c r="P35" s="32">
        <f t="shared" si="1"/>
        <v>2</v>
      </c>
      <c r="Q35" s="22">
        <f t="shared" si="2"/>
        <v>6</v>
      </c>
    </row>
    <row r="36" spans="1:17" ht="16" x14ac:dyDescent="0.2">
      <c r="A36" s="22" t="s">
        <v>366</v>
      </c>
      <c r="B36" s="31" t="s">
        <v>509</v>
      </c>
      <c r="C36" s="45" t="s">
        <v>652</v>
      </c>
      <c r="D36" s="45" t="s">
        <v>652</v>
      </c>
      <c r="J36" s="45" t="s">
        <v>652</v>
      </c>
      <c r="K36" s="32" t="s">
        <v>299</v>
      </c>
      <c r="O36" s="32">
        <f t="shared" si="0"/>
        <v>1</v>
      </c>
      <c r="P36" s="32">
        <f t="shared" si="1"/>
        <v>3</v>
      </c>
      <c r="Q36" s="22">
        <f t="shared" si="2"/>
        <v>4</v>
      </c>
    </row>
    <row r="37" spans="1:17" ht="16" x14ac:dyDescent="0.2">
      <c r="A37" s="22" t="s">
        <v>368</v>
      </c>
      <c r="B37" s="31" t="s">
        <v>369</v>
      </c>
      <c r="C37" s="45" t="s">
        <v>652</v>
      </c>
      <c r="D37" s="45" t="s">
        <v>652</v>
      </c>
      <c r="E37" s="45" t="s">
        <v>652</v>
      </c>
      <c r="F37" s="45" t="s">
        <v>652</v>
      </c>
      <c r="J37" s="45" t="s">
        <v>652</v>
      </c>
      <c r="K37" s="45" t="s">
        <v>652</v>
      </c>
      <c r="O37" s="32">
        <f t="shared" si="0"/>
        <v>0</v>
      </c>
      <c r="P37" s="32">
        <f t="shared" si="1"/>
        <v>6</v>
      </c>
      <c r="Q37" s="22">
        <f t="shared" si="2"/>
        <v>6</v>
      </c>
    </row>
    <row r="38" spans="1:17" ht="16" x14ac:dyDescent="0.2">
      <c r="A38" s="22" t="s">
        <v>370</v>
      </c>
      <c r="B38" s="31" t="s">
        <v>371</v>
      </c>
      <c r="C38" s="45" t="s">
        <v>652</v>
      </c>
      <c r="D38" s="45" t="s">
        <v>652</v>
      </c>
      <c r="E38" s="45" t="s">
        <v>652</v>
      </c>
      <c r="F38" s="32" t="s">
        <v>299</v>
      </c>
      <c r="J38" s="45" t="s">
        <v>652</v>
      </c>
      <c r="K38" s="32" t="s">
        <v>299</v>
      </c>
      <c r="O38" s="32">
        <f t="shared" si="0"/>
        <v>2</v>
      </c>
      <c r="P38" s="32">
        <f t="shared" si="1"/>
        <v>4</v>
      </c>
      <c r="Q38" s="22">
        <f t="shared" si="2"/>
        <v>6</v>
      </c>
    </row>
    <row r="39" spans="1:17" ht="16" x14ac:dyDescent="0.2">
      <c r="A39" s="22" t="s">
        <v>372</v>
      </c>
      <c r="B39" s="31" t="s">
        <v>37</v>
      </c>
      <c r="C39" s="45" t="s">
        <v>652</v>
      </c>
      <c r="D39" s="45" t="s">
        <v>652</v>
      </c>
      <c r="E39" s="45" t="s">
        <v>652</v>
      </c>
      <c r="F39" s="45" t="s">
        <v>652</v>
      </c>
      <c r="G39" s="45" t="s">
        <v>652</v>
      </c>
      <c r="H39" s="45" t="s">
        <v>652</v>
      </c>
      <c r="I39" s="45" t="s">
        <v>652</v>
      </c>
      <c r="J39" s="45" t="s">
        <v>652</v>
      </c>
      <c r="K39" s="45" t="s">
        <v>652</v>
      </c>
      <c r="M39" s="45" t="s">
        <v>652</v>
      </c>
      <c r="O39" s="32">
        <f t="shared" si="0"/>
        <v>0</v>
      </c>
      <c r="P39" s="32">
        <f t="shared" si="1"/>
        <v>10</v>
      </c>
      <c r="Q39" s="22">
        <f t="shared" si="2"/>
        <v>10</v>
      </c>
    </row>
    <row r="40" spans="1:17" ht="16" x14ac:dyDescent="0.2">
      <c r="A40" s="22" t="s">
        <v>373</v>
      </c>
      <c r="B40" s="31" t="s">
        <v>510</v>
      </c>
      <c r="C40" s="45" t="s">
        <v>652</v>
      </c>
      <c r="D40" s="45" t="s">
        <v>652</v>
      </c>
      <c r="E40" s="45" t="s">
        <v>652</v>
      </c>
      <c r="K40" s="45" t="s">
        <v>652</v>
      </c>
      <c r="O40" s="32">
        <f t="shared" si="0"/>
        <v>0</v>
      </c>
      <c r="P40" s="32">
        <f t="shared" si="1"/>
        <v>4</v>
      </c>
      <c r="Q40" s="22">
        <f t="shared" si="2"/>
        <v>4</v>
      </c>
    </row>
    <row r="41" spans="1:17" ht="16" x14ac:dyDescent="0.2">
      <c r="A41" s="22" t="s">
        <v>375</v>
      </c>
      <c r="B41" s="31" t="s">
        <v>376</v>
      </c>
      <c r="C41" s="45" t="s">
        <v>652</v>
      </c>
      <c r="D41" s="45" t="s">
        <v>652</v>
      </c>
      <c r="E41" s="45" t="s">
        <v>652</v>
      </c>
      <c r="H41" s="45" t="s">
        <v>652</v>
      </c>
      <c r="J41" s="45" t="s">
        <v>652</v>
      </c>
      <c r="K41" s="45" t="s">
        <v>652</v>
      </c>
      <c r="M41" s="45" t="s">
        <v>652</v>
      </c>
      <c r="O41" s="32">
        <f t="shared" si="0"/>
        <v>0</v>
      </c>
      <c r="P41" s="32">
        <f t="shared" si="1"/>
        <v>7</v>
      </c>
      <c r="Q41" s="22">
        <f t="shared" si="2"/>
        <v>7</v>
      </c>
    </row>
    <row r="42" spans="1:17" ht="16" x14ac:dyDescent="0.2">
      <c r="A42" s="22" t="s">
        <v>377</v>
      </c>
      <c r="B42" s="31" t="s">
        <v>378</v>
      </c>
      <c r="C42" s="32" t="s">
        <v>299</v>
      </c>
      <c r="D42" s="45" t="s">
        <v>652</v>
      </c>
      <c r="E42" s="45" t="s">
        <v>652</v>
      </c>
      <c r="F42" s="32" t="s">
        <v>299</v>
      </c>
      <c r="K42" s="32" t="s">
        <v>299</v>
      </c>
      <c r="O42" s="32">
        <f t="shared" si="0"/>
        <v>3</v>
      </c>
      <c r="P42" s="32">
        <f t="shared" si="1"/>
        <v>2</v>
      </c>
      <c r="Q42" s="22">
        <f t="shared" si="2"/>
        <v>5</v>
      </c>
    </row>
    <row r="43" spans="1:17" ht="16" x14ac:dyDescent="0.2">
      <c r="A43" s="22" t="s">
        <v>379</v>
      </c>
      <c r="B43" s="31" t="s">
        <v>511</v>
      </c>
      <c r="D43" s="45" t="s">
        <v>652</v>
      </c>
      <c r="O43" s="32">
        <f t="shared" si="0"/>
        <v>0</v>
      </c>
      <c r="P43" s="32">
        <f t="shared" si="1"/>
        <v>1</v>
      </c>
      <c r="Q43" s="22">
        <f t="shared" si="2"/>
        <v>1</v>
      </c>
    </row>
    <row r="44" spans="1:17" ht="16" x14ac:dyDescent="0.2">
      <c r="A44" s="22" t="s">
        <v>381</v>
      </c>
      <c r="B44" s="31" t="s">
        <v>382</v>
      </c>
      <c r="C44" s="32" t="s">
        <v>299</v>
      </c>
      <c r="D44" s="45" t="s">
        <v>652</v>
      </c>
      <c r="E44" s="45" t="s">
        <v>652</v>
      </c>
      <c r="F44" s="32" t="s">
        <v>299</v>
      </c>
      <c r="J44" s="45" t="s">
        <v>652</v>
      </c>
      <c r="K44" s="32" t="s">
        <v>299</v>
      </c>
      <c r="O44" s="32">
        <f t="shared" si="0"/>
        <v>3</v>
      </c>
      <c r="P44" s="32">
        <f t="shared" si="1"/>
        <v>3</v>
      </c>
      <c r="Q44" s="22">
        <f t="shared" si="2"/>
        <v>6</v>
      </c>
    </row>
    <row r="45" spans="1:17" ht="16" x14ac:dyDescent="0.2">
      <c r="A45" s="22" t="s">
        <v>383</v>
      </c>
      <c r="B45" s="31" t="s">
        <v>384</v>
      </c>
      <c r="C45" s="32" t="s">
        <v>299</v>
      </c>
      <c r="D45" s="32" t="s">
        <v>299</v>
      </c>
      <c r="E45" s="32" t="s">
        <v>299</v>
      </c>
      <c r="F45" s="32" t="s">
        <v>299</v>
      </c>
      <c r="G45" s="45" t="s">
        <v>652</v>
      </c>
      <c r="H45" s="45" t="s">
        <v>652</v>
      </c>
      <c r="I45" s="45" t="s">
        <v>652</v>
      </c>
      <c r="J45" s="45" t="s">
        <v>652</v>
      </c>
      <c r="K45" s="32" t="s">
        <v>299</v>
      </c>
      <c r="M45" s="32" t="s">
        <v>299</v>
      </c>
      <c r="O45" s="32">
        <f t="shared" si="0"/>
        <v>6</v>
      </c>
      <c r="P45" s="32">
        <f t="shared" si="1"/>
        <v>4</v>
      </c>
      <c r="Q45" s="22">
        <f t="shared" si="2"/>
        <v>10</v>
      </c>
    </row>
    <row r="46" spans="1:17" ht="16" x14ac:dyDescent="0.2">
      <c r="A46" s="22" t="s">
        <v>385</v>
      </c>
      <c r="B46" s="31" t="s">
        <v>386</v>
      </c>
      <c r="C46" s="32" t="s">
        <v>299</v>
      </c>
      <c r="D46" s="32" t="s">
        <v>299</v>
      </c>
      <c r="E46" s="32" t="s">
        <v>299</v>
      </c>
      <c r="G46" s="45" t="s">
        <v>652</v>
      </c>
      <c r="J46" s="45" t="s">
        <v>652</v>
      </c>
      <c r="K46" s="32" t="s">
        <v>299</v>
      </c>
      <c r="M46" s="32" t="s">
        <v>299</v>
      </c>
      <c r="O46" s="32">
        <f t="shared" si="0"/>
        <v>5</v>
      </c>
      <c r="P46" s="32">
        <f t="shared" si="1"/>
        <v>2</v>
      </c>
      <c r="Q46" s="22">
        <f t="shared" si="2"/>
        <v>7</v>
      </c>
    </row>
    <row r="47" spans="1:17" ht="16" x14ac:dyDescent="0.2">
      <c r="A47" s="22" t="s">
        <v>387</v>
      </c>
      <c r="B47" s="31" t="s">
        <v>388</v>
      </c>
      <c r="C47" s="45" t="s">
        <v>652</v>
      </c>
      <c r="D47" s="45" t="s">
        <v>652</v>
      </c>
      <c r="E47" s="45" t="s">
        <v>652</v>
      </c>
      <c r="F47" s="45" t="s">
        <v>652</v>
      </c>
      <c r="J47" s="45" t="s">
        <v>652</v>
      </c>
      <c r="K47" s="32" t="s">
        <v>299</v>
      </c>
      <c r="O47" s="32">
        <f t="shared" si="0"/>
        <v>1</v>
      </c>
      <c r="P47" s="32">
        <f t="shared" si="1"/>
        <v>5</v>
      </c>
      <c r="Q47" s="22">
        <f t="shared" si="2"/>
        <v>6</v>
      </c>
    </row>
    <row r="48" spans="1:17" ht="16" x14ac:dyDescent="0.2">
      <c r="A48" s="22" t="s">
        <v>389</v>
      </c>
      <c r="B48" s="31" t="s">
        <v>390</v>
      </c>
      <c r="C48" s="45" t="s">
        <v>652</v>
      </c>
      <c r="D48" s="45" t="s">
        <v>652</v>
      </c>
      <c r="E48" s="45" t="s">
        <v>652</v>
      </c>
      <c r="F48" s="45" t="s">
        <v>652</v>
      </c>
      <c r="G48" s="45" t="s">
        <v>652</v>
      </c>
      <c r="H48" s="45" t="s">
        <v>652</v>
      </c>
      <c r="I48" s="45" t="s">
        <v>652</v>
      </c>
      <c r="J48" s="45" t="s">
        <v>652</v>
      </c>
      <c r="K48" s="32" t="s">
        <v>299</v>
      </c>
      <c r="L48" s="45" t="s">
        <v>652</v>
      </c>
      <c r="M48" s="45" t="s">
        <v>652</v>
      </c>
      <c r="N48" s="45" t="s">
        <v>652</v>
      </c>
      <c r="O48" s="32">
        <f t="shared" si="0"/>
        <v>1</v>
      </c>
      <c r="P48" s="32">
        <f t="shared" si="1"/>
        <v>11</v>
      </c>
      <c r="Q48" s="22">
        <f t="shared" si="2"/>
        <v>12</v>
      </c>
    </row>
    <row r="49" spans="1:17" ht="16" x14ac:dyDescent="0.2">
      <c r="A49" s="22" t="s">
        <v>391</v>
      </c>
      <c r="B49" s="31" t="s">
        <v>392</v>
      </c>
      <c r="C49" s="32" t="s">
        <v>299</v>
      </c>
      <c r="D49" s="32" t="s">
        <v>299</v>
      </c>
      <c r="J49" s="45" t="s">
        <v>652</v>
      </c>
      <c r="K49" s="32" t="s">
        <v>299</v>
      </c>
      <c r="O49" s="32">
        <f t="shared" si="0"/>
        <v>3</v>
      </c>
      <c r="P49" s="32">
        <f t="shared" si="1"/>
        <v>1</v>
      </c>
      <c r="Q49" s="22">
        <f t="shared" si="2"/>
        <v>4</v>
      </c>
    </row>
    <row r="50" spans="1:17" ht="16" x14ac:dyDescent="0.2">
      <c r="A50" s="22" t="s">
        <v>393</v>
      </c>
      <c r="B50" s="31" t="s">
        <v>394</v>
      </c>
      <c r="C50" s="32" t="s">
        <v>299</v>
      </c>
      <c r="D50" s="45" t="s">
        <v>652</v>
      </c>
      <c r="E50" s="45" t="s">
        <v>652</v>
      </c>
      <c r="J50" s="45" t="s">
        <v>652</v>
      </c>
      <c r="K50" s="32" t="s">
        <v>299</v>
      </c>
      <c r="O50" s="32">
        <f t="shared" si="0"/>
        <v>2</v>
      </c>
      <c r="P50" s="32">
        <f t="shared" si="1"/>
        <v>3</v>
      </c>
      <c r="Q50" s="22">
        <f t="shared" si="2"/>
        <v>5</v>
      </c>
    </row>
    <row r="51" spans="1:17" ht="16" x14ac:dyDescent="0.2">
      <c r="A51" s="22" t="s">
        <v>395</v>
      </c>
      <c r="B51" s="31" t="s">
        <v>303</v>
      </c>
      <c r="C51" s="45" t="s">
        <v>652</v>
      </c>
      <c r="D51" s="45" t="s">
        <v>652</v>
      </c>
      <c r="E51" s="45" t="s">
        <v>652</v>
      </c>
      <c r="F51" s="45" t="s">
        <v>652</v>
      </c>
      <c r="H51" s="45" t="s">
        <v>652</v>
      </c>
      <c r="J51" s="45" t="s">
        <v>652</v>
      </c>
      <c r="K51" s="32" t="s">
        <v>299</v>
      </c>
      <c r="M51" s="45" t="s">
        <v>652</v>
      </c>
      <c r="O51" s="32">
        <f t="shared" si="0"/>
        <v>1</v>
      </c>
      <c r="P51" s="32">
        <f t="shared" si="1"/>
        <v>7</v>
      </c>
      <c r="Q51" s="22">
        <f t="shared" si="2"/>
        <v>8</v>
      </c>
    </row>
    <row r="52" spans="1:17" ht="16" x14ac:dyDescent="0.2">
      <c r="A52" s="22" t="s">
        <v>396</v>
      </c>
      <c r="B52" s="31" t="s">
        <v>397</v>
      </c>
      <c r="C52" s="45" t="s">
        <v>652</v>
      </c>
      <c r="D52" s="45" t="s">
        <v>652</v>
      </c>
      <c r="E52" s="45" t="s">
        <v>652</v>
      </c>
      <c r="J52" s="45" t="s">
        <v>652</v>
      </c>
      <c r="K52" s="32" t="s">
        <v>299</v>
      </c>
      <c r="O52" s="32">
        <f t="shared" si="0"/>
        <v>1</v>
      </c>
      <c r="P52" s="32">
        <f t="shared" si="1"/>
        <v>4</v>
      </c>
      <c r="Q52" s="22">
        <f t="shared" si="2"/>
        <v>5</v>
      </c>
    </row>
    <row r="53" spans="1:17" ht="16" x14ac:dyDescent="0.2">
      <c r="A53" s="22" t="s">
        <v>398</v>
      </c>
      <c r="B53" s="31" t="s">
        <v>399</v>
      </c>
      <c r="C53" s="45" t="s">
        <v>652</v>
      </c>
      <c r="D53" s="45" t="s">
        <v>652</v>
      </c>
      <c r="E53" s="45" t="s">
        <v>652</v>
      </c>
      <c r="F53" s="45" t="s">
        <v>652</v>
      </c>
      <c r="G53" s="45" t="s">
        <v>652</v>
      </c>
      <c r="H53" s="45" t="s">
        <v>652</v>
      </c>
      <c r="I53" s="45" t="s">
        <v>652</v>
      </c>
      <c r="J53" s="45" t="s">
        <v>652</v>
      </c>
      <c r="K53" s="45" t="s">
        <v>652</v>
      </c>
      <c r="L53" s="45" t="s">
        <v>652</v>
      </c>
      <c r="M53" s="45" t="s">
        <v>652</v>
      </c>
      <c r="O53" s="32">
        <f t="shared" si="0"/>
        <v>0</v>
      </c>
      <c r="P53" s="32">
        <f t="shared" si="1"/>
        <v>11</v>
      </c>
      <c r="Q53" s="22">
        <f t="shared" si="2"/>
        <v>11</v>
      </c>
    </row>
    <row r="54" spans="1:17" ht="16" x14ac:dyDescent="0.2">
      <c r="A54" s="22" t="s">
        <v>400</v>
      </c>
      <c r="B54" s="31" t="s">
        <v>401</v>
      </c>
      <c r="C54" s="45" t="s">
        <v>652</v>
      </c>
      <c r="D54" s="45" t="s">
        <v>652</v>
      </c>
      <c r="E54" s="45" t="s">
        <v>652</v>
      </c>
      <c r="F54" s="32" t="s">
        <v>299</v>
      </c>
      <c r="J54" s="45" t="s">
        <v>652</v>
      </c>
      <c r="K54" s="32" t="s">
        <v>299</v>
      </c>
      <c r="O54" s="32">
        <f t="shared" si="0"/>
        <v>2</v>
      </c>
      <c r="P54" s="32">
        <f t="shared" si="1"/>
        <v>4</v>
      </c>
      <c r="Q54" s="22">
        <f t="shared" si="2"/>
        <v>6</v>
      </c>
    </row>
    <row r="55" spans="1:17" ht="16" x14ac:dyDescent="0.2">
      <c r="A55" s="22" t="s">
        <v>402</v>
      </c>
      <c r="B55" s="31" t="s">
        <v>403</v>
      </c>
      <c r="C55" s="32" t="s">
        <v>299</v>
      </c>
      <c r="D55" s="32" t="s">
        <v>299</v>
      </c>
      <c r="E55" s="32" t="s">
        <v>299</v>
      </c>
      <c r="J55" s="45" t="s">
        <v>652</v>
      </c>
      <c r="K55" s="32" t="s">
        <v>299</v>
      </c>
      <c r="O55" s="32">
        <f t="shared" si="0"/>
        <v>4</v>
      </c>
      <c r="P55" s="32">
        <f t="shared" si="1"/>
        <v>1</v>
      </c>
      <c r="Q55" s="22">
        <f t="shared" si="2"/>
        <v>5</v>
      </c>
    </row>
    <row r="56" spans="1:17" ht="16" x14ac:dyDescent="0.2">
      <c r="A56" s="22" t="s">
        <v>404</v>
      </c>
      <c r="B56" s="31" t="s">
        <v>405</v>
      </c>
      <c r="C56" s="32" t="s">
        <v>299</v>
      </c>
      <c r="D56" s="45" t="s">
        <v>652</v>
      </c>
      <c r="E56" s="45" t="s">
        <v>652</v>
      </c>
      <c r="F56" s="32" t="s">
        <v>299</v>
      </c>
      <c r="G56" s="45" t="s">
        <v>652</v>
      </c>
      <c r="H56" s="45" t="s">
        <v>652</v>
      </c>
      <c r="I56" s="45" t="s">
        <v>652</v>
      </c>
      <c r="J56" s="45" t="s">
        <v>652</v>
      </c>
      <c r="K56" s="32" t="s">
        <v>299</v>
      </c>
      <c r="L56" s="32" t="s">
        <v>299</v>
      </c>
      <c r="M56" s="45" t="s">
        <v>652</v>
      </c>
      <c r="N56" s="45" t="s">
        <v>652</v>
      </c>
      <c r="O56" s="32">
        <f t="shared" si="0"/>
        <v>4</v>
      </c>
      <c r="P56" s="32">
        <f t="shared" si="1"/>
        <v>8</v>
      </c>
      <c r="Q56" s="22">
        <f t="shared" si="2"/>
        <v>12</v>
      </c>
    </row>
    <row r="57" spans="1:17" ht="16" x14ac:dyDescent="0.2">
      <c r="A57" s="22" t="s">
        <v>406</v>
      </c>
      <c r="B57" s="31" t="s">
        <v>656</v>
      </c>
      <c r="C57" s="46" t="s">
        <v>652</v>
      </c>
      <c r="D57" s="46" t="s">
        <v>652</v>
      </c>
      <c r="E57" s="46" t="s">
        <v>652</v>
      </c>
      <c r="F57" s="46" t="s">
        <v>652</v>
      </c>
      <c r="J57" s="46" t="s">
        <v>652</v>
      </c>
      <c r="K57" s="46" t="s">
        <v>652</v>
      </c>
      <c r="O57" s="32">
        <f t="shared" si="0"/>
        <v>0</v>
      </c>
      <c r="P57" s="32">
        <f t="shared" si="1"/>
        <v>6</v>
      </c>
      <c r="Q57" s="22">
        <f t="shared" si="2"/>
        <v>6</v>
      </c>
    </row>
    <row r="58" spans="1:17" ht="16" x14ac:dyDescent="0.2">
      <c r="A58" s="22" t="s">
        <v>407</v>
      </c>
      <c r="B58" s="31" t="s">
        <v>408</v>
      </c>
      <c r="E58" s="45" t="s">
        <v>652</v>
      </c>
      <c r="J58" s="45" t="s">
        <v>652</v>
      </c>
      <c r="O58" s="32">
        <f t="shared" si="0"/>
        <v>0</v>
      </c>
      <c r="P58" s="32">
        <f t="shared" si="1"/>
        <v>2</v>
      </c>
      <c r="Q58" s="22">
        <f t="shared" si="2"/>
        <v>2</v>
      </c>
    </row>
    <row r="59" spans="1:17" ht="16" x14ac:dyDescent="0.2">
      <c r="A59" s="22" t="s">
        <v>409</v>
      </c>
      <c r="B59" s="31" t="s">
        <v>512</v>
      </c>
      <c r="C59" s="45" t="s">
        <v>652</v>
      </c>
      <c r="D59" s="45" t="s">
        <v>652</v>
      </c>
      <c r="E59" s="45" t="s">
        <v>652</v>
      </c>
      <c r="J59" s="45" t="s">
        <v>652</v>
      </c>
      <c r="K59" s="32" t="s">
        <v>299</v>
      </c>
      <c r="O59" s="32">
        <f t="shared" si="0"/>
        <v>1</v>
      </c>
      <c r="P59" s="32">
        <f t="shared" si="1"/>
        <v>4</v>
      </c>
      <c r="Q59" s="22">
        <f t="shared" si="2"/>
        <v>5</v>
      </c>
    </row>
    <row r="60" spans="1:17" ht="16" x14ac:dyDescent="0.2">
      <c r="A60" s="22" t="s">
        <v>411</v>
      </c>
      <c r="B60" s="31" t="s">
        <v>513</v>
      </c>
      <c r="C60" s="32" t="s">
        <v>299</v>
      </c>
      <c r="D60" s="45" t="s">
        <v>652</v>
      </c>
      <c r="E60" s="45" t="s">
        <v>652</v>
      </c>
      <c r="J60" s="45" t="s">
        <v>652</v>
      </c>
      <c r="K60" s="32" t="s">
        <v>299</v>
      </c>
      <c r="O60" s="32">
        <f t="shared" si="0"/>
        <v>2</v>
      </c>
      <c r="P60" s="32">
        <f t="shared" si="1"/>
        <v>3</v>
      </c>
      <c r="Q60" s="22">
        <f t="shared" si="2"/>
        <v>5</v>
      </c>
    </row>
    <row r="61" spans="1:17" ht="16" x14ac:dyDescent="0.2">
      <c r="A61" s="22" t="s">
        <v>413</v>
      </c>
      <c r="B61" s="31" t="s">
        <v>414</v>
      </c>
      <c r="C61" s="45" t="s">
        <v>652</v>
      </c>
      <c r="D61" s="45" t="s">
        <v>652</v>
      </c>
      <c r="E61" s="45" t="s">
        <v>652</v>
      </c>
      <c r="F61" s="45" t="s">
        <v>652</v>
      </c>
      <c r="J61" s="45" t="s">
        <v>652</v>
      </c>
      <c r="K61" s="45" t="s">
        <v>652</v>
      </c>
      <c r="O61" s="32">
        <f t="shared" si="0"/>
        <v>0</v>
      </c>
      <c r="P61" s="32">
        <f t="shared" si="1"/>
        <v>6</v>
      </c>
      <c r="Q61" s="22">
        <f t="shared" si="2"/>
        <v>6</v>
      </c>
    </row>
    <row r="62" spans="1:17" ht="16" x14ac:dyDescent="0.2">
      <c r="A62" s="22" t="s">
        <v>415</v>
      </c>
      <c r="B62" s="31" t="s">
        <v>514</v>
      </c>
      <c r="C62" s="45" t="s">
        <v>652</v>
      </c>
      <c r="D62" s="45" t="s">
        <v>652</v>
      </c>
      <c r="E62" s="45" t="s">
        <v>652</v>
      </c>
      <c r="F62" s="45" t="s">
        <v>652</v>
      </c>
      <c r="J62" s="45" t="s">
        <v>652</v>
      </c>
      <c r="K62" s="32" t="s">
        <v>299</v>
      </c>
      <c r="O62" s="32">
        <f t="shared" si="0"/>
        <v>1</v>
      </c>
      <c r="P62" s="32">
        <f t="shared" si="1"/>
        <v>5</v>
      </c>
      <c r="Q62" s="22">
        <f t="shared" si="2"/>
        <v>6</v>
      </c>
    </row>
    <row r="63" spans="1:17" ht="16" x14ac:dyDescent="0.2">
      <c r="A63" s="22" t="s">
        <v>416</v>
      </c>
      <c r="B63" s="31" t="s">
        <v>417</v>
      </c>
      <c r="C63" s="32" t="s">
        <v>299</v>
      </c>
      <c r="D63" s="45" t="s">
        <v>652</v>
      </c>
      <c r="O63" s="32">
        <f t="shared" si="0"/>
        <v>1</v>
      </c>
      <c r="P63" s="32">
        <f t="shared" si="1"/>
        <v>1</v>
      </c>
      <c r="Q63" s="22">
        <f t="shared" si="2"/>
        <v>2</v>
      </c>
    </row>
    <row r="64" spans="1:17" ht="16" x14ac:dyDescent="0.2">
      <c r="A64" s="22" t="s">
        <v>418</v>
      </c>
      <c r="B64" s="31" t="s">
        <v>515</v>
      </c>
      <c r="C64" s="32" t="s">
        <v>299</v>
      </c>
      <c r="O64" s="32">
        <f t="shared" si="0"/>
        <v>1</v>
      </c>
      <c r="P64" s="32">
        <f t="shared" si="1"/>
        <v>0</v>
      </c>
      <c r="Q64" s="22">
        <f t="shared" si="2"/>
        <v>1</v>
      </c>
    </row>
    <row r="65" spans="1:17" ht="16" x14ac:dyDescent="0.2">
      <c r="A65" s="22" t="s">
        <v>420</v>
      </c>
      <c r="B65" s="31" t="s">
        <v>516</v>
      </c>
      <c r="C65" s="32" t="s">
        <v>299</v>
      </c>
      <c r="D65" s="45" t="s">
        <v>652</v>
      </c>
      <c r="E65" s="45" t="s">
        <v>652</v>
      </c>
      <c r="F65" s="32" t="s">
        <v>299</v>
      </c>
      <c r="J65" s="45" t="s">
        <v>652</v>
      </c>
      <c r="K65" s="32" t="s">
        <v>299</v>
      </c>
      <c r="O65" s="32">
        <f t="shared" si="0"/>
        <v>3</v>
      </c>
      <c r="P65" s="32">
        <f t="shared" si="1"/>
        <v>3</v>
      </c>
      <c r="Q65" s="22">
        <f t="shared" si="2"/>
        <v>6</v>
      </c>
    </row>
    <row r="66" spans="1:17" ht="16" x14ac:dyDescent="0.2">
      <c r="A66" s="22" t="s">
        <v>422</v>
      </c>
      <c r="B66" s="31" t="s">
        <v>423</v>
      </c>
      <c r="O66" s="32">
        <f t="shared" ref="O66:O101" si="3">COUNTIF(C66:N66, "FP")</f>
        <v>0</v>
      </c>
      <c r="P66" s="32">
        <f t="shared" ref="P66:P101" si="4">COUNTIF(C66:N66, "XX")</f>
        <v>0</v>
      </c>
      <c r="Q66" s="22">
        <f t="shared" si="2"/>
        <v>0</v>
      </c>
    </row>
    <row r="67" spans="1:17" ht="16" x14ac:dyDescent="0.2">
      <c r="A67" s="22" t="s">
        <v>424</v>
      </c>
      <c r="B67" s="31" t="s">
        <v>425</v>
      </c>
      <c r="C67" s="45" t="s">
        <v>652</v>
      </c>
      <c r="D67" s="45" t="s">
        <v>652</v>
      </c>
      <c r="E67" s="45" t="s">
        <v>652</v>
      </c>
      <c r="F67" s="45" t="s">
        <v>652</v>
      </c>
      <c r="J67" s="45" t="s">
        <v>652</v>
      </c>
      <c r="K67" s="32" t="s">
        <v>299</v>
      </c>
      <c r="O67" s="32">
        <f t="shared" si="3"/>
        <v>1</v>
      </c>
      <c r="P67" s="32">
        <f t="shared" si="4"/>
        <v>5</v>
      </c>
      <c r="Q67" s="22">
        <f t="shared" ref="Q67:Q102" si="5">O67+P67</f>
        <v>6</v>
      </c>
    </row>
    <row r="68" spans="1:17" ht="16" x14ac:dyDescent="0.2">
      <c r="A68" s="22" t="s">
        <v>426</v>
      </c>
      <c r="B68" s="31" t="s">
        <v>303</v>
      </c>
      <c r="C68" s="32" t="s">
        <v>299</v>
      </c>
      <c r="D68" s="32" t="s">
        <v>299</v>
      </c>
      <c r="E68" s="45" t="s">
        <v>652</v>
      </c>
      <c r="J68" s="45" t="s">
        <v>652</v>
      </c>
      <c r="K68" s="32" t="s">
        <v>299</v>
      </c>
      <c r="O68" s="32">
        <f t="shared" si="3"/>
        <v>3</v>
      </c>
      <c r="P68" s="32">
        <f t="shared" si="4"/>
        <v>2</v>
      </c>
      <c r="Q68" s="22">
        <f t="shared" si="5"/>
        <v>5</v>
      </c>
    </row>
    <row r="69" spans="1:17" ht="16" x14ac:dyDescent="0.2">
      <c r="A69" s="22" t="s">
        <v>427</v>
      </c>
      <c r="B69" s="31" t="s">
        <v>428</v>
      </c>
      <c r="C69" s="32" t="s">
        <v>299</v>
      </c>
      <c r="D69" s="45" t="s">
        <v>652</v>
      </c>
      <c r="E69" s="45" t="s">
        <v>652</v>
      </c>
      <c r="F69" s="32" t="s">
        <v>299</v>
      </c>
      <c r="J69" s="45" t="s">
        <v>652</v>
      </c>
      <c r="K69" s="32" t="s">
        <v>299</v>
      </c>
      <c r="O69" s="32">
        <f t="shared" si="3"/>
        <v>3</v>
      </c>
      <c r="P69" s="32">
        <f t="shared" si="4"/>
        <v>3</v>
      </c>
      <c r="Q69" s="22">
        <f t="shared" si="5"/>
        <v>6</v>
      </c>
    </row>
    <row r="70" spans="1:17" ht="16" x14ac:dyDescent="0.2">
      <c r="A70" s="22" t="s">
        <v>429</v>
      </c>
      <c r="B70" s="31" t="s">
        <v>517</v>
      </c>
      <c r="C70" s="45" t="s">
        <v>652</v>
      </c>
      <c r="D70" s="45" t="s">
        <v>652</v>
      </c>
      <c r="E70" s="45" t="s">
        <v>652</v>
      </c>
      <c r="K70" s="45" t="s">
        <v>652</v>
      </c>
      <c r="O70" s="32">
        <f t="shared" si="3"/>
        <v>0</v>
      </c>
      <c r="P70" s="32">
        <f t="shared" si="4"/>
        <v>4</v>
      </c>
      <c r="Q70" s="22">
        <f t="shared" si="5"/>
        <v>4</v>
      </c>
    </row>
    <row r="71" spans="1:17" ht="16" x14ac:dyDescent="0.2">
      <c r="A71" s="22" t="s">
        <v>431</v>
      </c>
      <c r="B71" s="31" t="s">
        <v>432</v>
      </c>
      <c r="C71" s="32" t="s">
        <v>299</v>
      </c>
      <c r="D71" s="45" t="s">
        <v>652</v>
      </c>
      <c r="E71" s="45" t="s">
        <v>652</v>
      </c>
      <c r="F71" s="45" t="s">
        <v>652</v>
      </c>
      <c r="J71" s="45" t="s">
        <v>652</v>
      </c>
      <c r="K71" s="32" t="s">
        <v>299</v>
      </c>
      <c r="O71" s="32">
        <f t="shared" si="3"/>
        <v>2</v>
      </c>
      <c r="P71" s="32">
        <f t="shared" si="4"/>
        <v>4</v>
      </c>
      <c r="Q71" s="22">
        <f t="shared" si="5"/>
        <v>6</v>
      </c>
    </row>
    <row r="72" spans="1:17" ht="16" x14ac:dyDescent="0.2">
      <c r="A72" s="22" t="s">
        <v>433</v>
      </c>
      <c r="B72" s="31" t="s">
        <v>434</v>
      </c>
      <c r="C72" s="32" t="s">
        <v>299</v>
      </c>
      <c r="D72" s="45" t="s">
        <v>652</v>
      </c>
      <c r="E72" s="45" t="s">
        <v>652</v>
      </c>
      <c r="F72" s="32" t="s">
        <v>299</v>
      </c>
      <c r="G72" s="45" t="s">
        <v>652</v>
      </c>
      <c r="J72" s="45" t="s">
        <v>652</v>
      </c>
      <c r="K72" s="32" t="s">
        <v>299</v>
      </c>
      <c r="M72" s="32" t="s">
        <v>299</v>
      </c>
      <c r="O72" s="32">
        <f t="shared" si="3"/>
        <v>4</v>
      </c>
      <c r="P72" s="32">
        <f t="shared" si="4"/>
        <v>4</v>
      </c>
      <c r="Q72" s="22">
        <f t="shared" si="5"/>
        <v>8</v>
      </c>
    </row>
    <row r="73" spans="1:17" ht="16" x14ac:dyDescent="0.2">
      <c r="A73" s="22" t="s">
        <v>435</v>
      </c>
      <c r="B73" s="31" t="s">
        <v>436</v>
      </c>
      <c r="C73" s="45" t="s">
        <v>652</v>
      </c>
      <c r="D73" s="45" t="s">
        <v>652</v>
      </c>
      <c r="E73" s="45" t="s">
        <v>652</v>
      </c>
      <c r="F73" s="45" t="s">
        <v>652</v>
      </c>
      <c r="K73" s="45" t="s">
        <v>652</v>
      </c>
      <c r="O73" s="32">
        <f t="shared" si="3"/>
        <v>0</v>
      </c>
      <c r="P73" s="32">
        <f t="shared" si="4"/>
        <v>5</v>
      </c>
      <c r="Q73" s="22">
        <f t="shared" si="5"/>
        <v>5</v>
      </c>
    </row>
    <row r="74" spans="1:17" ht="16" x14ac:dyDescent="0.2">
      <c r="A74" s="22" t="s">
        <v>437</v>
      </c>
      <c r="B74" s="31" t="s">
        <v>438</v>
      </c>
      <c r="C74" s="45" t="s">
        <v>652</v>
      </c>
      <c r="D74" s="45" t="s">
        <v>652</v>
      </c>
      <c r="E74" s="45" t="s">
        <v>652</v>
      </c>
      <c r="F74" s="45" t="s">
        <v>652</v>
      </c>
      <c r="G74" s="45" t="s">
        <v>652</v>
      </c>
      <c r="H74" s="45" t="s">
        <v>652</v>
      </c>
      <c r="I74" s="45" t="s">
        <v>652</v>
      </c>
      <c r="J74" s="45" t="s">
        <v>652</v>
      </c>
      <c r="K74" s="45" t="s">
        <v>652</v>
      </c>
      <c r="M74" s="45" t="s">
        <v>652</v>
      </c>
      <c r="O74" s="32">
        <f t="shared" si="3"/>
        <v>0</v>
      </c>
      <c r="P74" s="32">
        <f t="shared" si="4"/>
        <v>10</v>
      </c>
      <c r="Q74" s="22">
        <f t="shared" si="5"/>
        <v>10</v>
      </c>
    </row>
    <row r="75" spans="1:17" ht="16" x14ac:dyDescent="0.2">
      <c r="A75" s="22" t="s">
        <v>439</v>
      </c>
      <c r="B75" s="31" t="s">
        <v>440</v>
      </c>
      <c r="C75" s="45" t="s">
        <v>652</v>
      </c>
      <c r="D75" s="45" t="s">
        <v>652</v>
      </c>
      <c r="E75" s="45" t="s">
        <v>652</v>
      </c>
      <c r="F75" s="45" t="s">
        <v>652</v>
      </c>
      <c r="J75" s="45" t="s">
        <v>652</v>
      </c>
      <c r="O75" s="32">
        <f t="shared" si="3"/>
        <v>0</v>
      </c>
      <c r="P75" s="32">
        <f t="shared" si="4"/>
        <v>5</v>
      </c>
      <c r="Q75" s="22">
        <f t="shared" si="5"/>
        <v>5</v>
      </c>
    </row>
    <row r="76" spans="1:17" ht="16" x14ac:dyDescent="0.2">
      <c r="A76" s="22" t="s">
        <v>441</v>
      </c>
      <c r="B76" s="31" t="s">
        <v>376</v>
      </c>
      <c r="C76" s="45" t="s">
        <v>652</v>
      </c>
      <c r="D76" s="45" t="s">
        <v>652</v>
      </c>
      <c r="E76" s="45" t="s">
        <v>652</v>
      </c>
      <c r="F76" s="45" t="s">
        <v>652</v>
      </c>
      <c r="G76" s="45" t="s">
        <v>652</v>
      </c>
      <c r="H76" s="45" t="s">
        <v>652</v>
      </c>
      <c r="J76" s="45" t="s">
        <v>652</v>
      </c>
      <c r="K76" s="45" t="s">
        <v>652</v>
      </c>
      <c r="L76" s="45" t="s">
        <v>652</v>
      </c>
      <c r="M76" s="45" t="s">
        <v>652</v>
      </c>
      <c r="N76" s="45" t="s">
        <v>652</v>
      </c>
      <c r="O76" s="32">
        <f t="shared" si="3"/>
        <v>0</v>
      </c>
      <c r="P76" s="32">
        <f t="shared" si="4"/>
        <v>11</v>
      </c>
      <c r="Q76" s="22">
        <f t="shared" si="5"/>
        <v>11</v>
      </c>
    </row>
    <row r="77" spans="1:17" ht="16" x14ac:dyDescent="0.2">
      <c r="A77" s="22" t="s">
        <v>442</v>
      </c>
      <c r="B77" s="31" t="s">
        <v>434</v>
      </c>
      <c r="C77" s="32" t="s">
        <v>299</v>
      </c>
      <c r="D77" s="32" t="s">
        <v>299</v>
      </c>
      <c r="E77" s="32" t="s">
        <v>299</v>
      </c>
      <c r="O77" s="32">
        <f t="shared" si="3"/>
        <v>3</v>
      </c>
      <c r="P77" s="32">
        <f t="shared" si="4"/>
        <v>0</v>
      </c>
      <c r="Q77" s="22">
        <f t="shared" si="5"/>
        <v>3</v>
      </c>
    </row>
    <row r="78" spans="1:17" ht="16" x14ac:dyDescent="0.2">
      <c r="A78" s="22" t="s">
        <v>444</v>
      </c>
      <c r="B78" s="31" t="s">
        <v>445</v>
      </c>
      <c r="C78" s="32" t="s">
        <v>299</v>
      </c>
      <c r="D78" s="45" t="s">
        <v>652</v>
      </c>
      <c r="E78" s="45" t="s">
        <v>652</v>
      </c>
      <c r="F78" s="32" t="s">
        <v>299</v>
      </c>
      <c r="G78" s="45" t="s">
        <v>652</v>
      </c>
      <c r="H78" s="45" t="s">
        <v>652</v>
      </c>
      <c r="I78" s="45" t="s">
        <v>652</v>
      </c>
      <c r="J78" s="45" t="s">
        <v>652</v>
      </c>
      <c r="K78" s="32" t="s">
        <v>299</v>
      </c>
      <c r="M78" s="32" t="s">
        <v>299</v>
      </c>
      <c r="O78" s="32">
        <f t="shared" si="3"/>
        <v>4</v>
      </c>
      <c r="P78" s="32">
        <f t="shared" si="4"/>
        <v>6</v>
      </c>
      <c r="Q78" s="22">
        <f t="shared" si="5"/>
        <v>10</v>
      </c>
    </row>
    <row r="79" spans="1:17" ht="16" x14ac:dyDescent="0.2">
      <c r="A79" s="22" t="s">
        <v>446</v>
      </c>
      <c r="B79" s="31" t="s">
        <v>447</v>
      </c>
      <c r="C79" s="45" t="s">
        <v>652</v>
      </c>
      <c r="D79" s="32" t="s">
        <v>299</v>
      </c>
      <c r="E79" s="45" t="s">
        <v>652</v>
      </c>
      <c r="O79" s="32">
        <f t="shared" si="3"/>
        <v>1</v>
      </c>
      <c r="P79" s="32">
        <f t="shared" si="4"/>
        <v>2</v>
      </c>
      <c r="Q79" s="22">
        <f t="shared" si="5"/>
        <v>3</v>
      </c>
    </row>
    <row r="80" spans="1:17" ht="16" x14ac:dyDescent="0.2">
      <c r="A80" s="22" t="s">
        <v>448</v>
      </c>
      <c r="B80" s="31" t="s">
        <v>449</v>
      </c>
      <c r="C80" s="45" t="s">
        <v>652</v>
      </c>
      <c r="D80" s="45" t="s">
        <v>652</v>
      </c>
      <c r="O80" s="32">
        <f t="shared" si="3"/>
        <v>0</v>
      </c>
      <c r="P80" s="32">
        <f t="shared" si="4"/>
        <v>2</v>
      </c>
      <c r="Q80" s="22">
        <f t="shared" si="5"/>
        <v>2</v>
      </c>
    </row>
    <row r="81" spans="1:17" ht="16" x14ac:dyDescent="0.2">
      <c r="A81" s="22" t="s">
        <v>450</v>
      </c>
      <c r="B81" s="31" t="s">
        <v>451</v>
      </c>
      <c r="C81" s="45" t="s">
        <v>652</v>
      </c>
      <c r="D81" s="45" t="s">
        <v>652</v>
      </c>
      <c r="E81" s="45" t="s">
        <v>652</v>
      </c>
      <c r="J81" s="45" t="s">
        <v>652</v>
      </c>
      <c r="K81" s="32" t="s">
        <v>299</v>
      </c>
      <c r="O81" s="32">
        <f t="shared" si="3"/>
        <v>1</v>
      </c>
      <c r="P81" s="32">
        <f t="shared" si="4"/>
        <v>4</v>
      </c>
      <c r="Q81" s="22">
        <f t="shared" si="5"/>
        <v>5</v>
      </c>
    </row>
    <row r="82" spans="1:17" ht="16" x14ac:dyDescent="0.2">
      <c r="A82" s="22" t="s">
        <v>452</v>
      </c>
      <c r="B82" s="31" t="s">
        <v>518</v>
      </c>
      <c r="C82" s="45" t="s">
        <v>652</v>
      </c>
      <c r="D82" s="45" t="s">
        <v>652</v>
      </c>
      <c r="K82" s="45" t="s">
        <v>652</v>
      </c>
      <c r="O82" s="32">
        <f t="shared" si="3"/>
        <v>0</v>
      </c>
      <c r="P82" s="32">
        <f t="shared" si="4"/>
        <v>3</v>
      </c>
      <c r="Q82" s="22">
        <f t="shared" si="5"/>
        <v>3</v>
      </c>
    </row>
    <row r="83" spans="1:17" ht="16" x14ac:dyDescent="0.2">
      <c r="A83" s="22" t="s">
        <v>454</v>
      </c>
      <c r="B83" s="31" t="s">
        <v>455</v>
      </c>
      <c r="C83" s="32" t="s">
        <v>299</v>
      </c>
      <c r="D83" s="32" t="s">
        <v>299</v>
      </c>
      <c r="E83" s="32" t="s">
        <v>299</v>
      </c>
      <c r="F83" s="32" t="s">
        <v>299</v>
      </c>
      <c r="G83" s="45" t="s">
        <v>652</v>
      </c>
      <c r="H83" s="45" t="s">
        <v>652</v>
      </c>
      <c r="I83" s="45" t="s">
        <v>652</v>
      </c>
      <c r="J83" s="45" t="s">
        <v>652</v>
      </c>
      <c r="K83" s="32" t="s">
        <v>299</v>
      </c>
      <c r="M83" s="45" t="s">
        <v>652</v>
      </c>
      <c r="O83" s="32">
        <f t="shared" si="3"/>
        <v>5</v>
      </c>
      <c r="P83" s="32">
        <f t="shared" si="4"/>
        <v>5</v>
      </c>
      <c r="Q83" s="22">
        <f t="shared" si="5"/>
        <v>10</v>
      </c>
    </row>
    <row r="84" spans="1:17" ht="16" x14ac:dyDescent="0.2">
      <c r="A84" s="22" t="s">
        <v>456</v>
      </c>
      <c r="B84" s="31" t="s">
        <v>457</v>
      </c>
      <c r="C84" s="45" t="s">
        <v>652</v>
      </c>
      <c r="D84" s="45" t="s">
        <v>652</v>
      </c>
      <c r="E84" s="45" t="s">
        <v>652</v>
      </c>
      <c r="O84" s="32">
        <f t="shared" si="3"/>
        <v>0</v>
      </c>
      <c r="P84" s="32">
        <f t="shared" si="4"/>
        <v>3</v>
      </c>
      <c r="Q84" s="22">
        <f t="shared" si="5"/>
        <v>3</v>
      </c>
    </row>
    <row r="85" spans="1:17" ht="16" x14ac:dyDescent="0.2">
      <c r="A85" s="22" t="s">
        <v>458</v>
      </c>
      <c r="B85" s="31" t="s">
        <v>459</v>
      </c>
      <c r="C85" s="32" t="s">
        <v>299</v>
      </c>
      <c r="D85" s="32" t="s">
        <v>299</v>
      </c>
      <c r="E85" s="45" t="s">
        <v>652</v>
      </c>
      <c r="J85" s="45" t="s">
        <v>652</v>
      </c>
      <c r="K85" s="32" t="s">
        <v>299</v>
      </c>
      <c r="O85" s="32">
        <f t="shared" si="3"/>
        <v>3</v>
      </c>
      <c r="P85" s="32">
        <f t="shared" si="4"/>
        <v>2</v>
      </c>
      <c r="Q85" s="22">
        <f t="shared" si="5"/>
        <v>5</v>
      </c>
    </row>
    <row r="86" spans="1:17" ht="16" x14ac:dyDescent="0.2">
      <c r="A86" s="22" t="s">
        <v>460</v>
      </c>
      <c r="B86" s="31" t="s">
        <v>461</v>
      </c>
      <c r="C86" s="45" t="s">
        <v>652</v>
      </c>
      <c r="D86" s="45" t="s">
        <v>652</v>
      </c>
      <c r="E86" s="45" t="s">
        <v>652</v>
      </c>
      <c r="K86" s="45" t="s">
        <v>652</v>
      </c>
      <c r="O86" s="32">
        <f t="shared" si="3"/>
        <v>0</v>
      </c>
      <c r="P86" s="32">
        <f t="shared" si="4"/>
        <v>4</v>
      </c>
      <c r="Q86" s="22">
        <f t="shared" si="5"/>
        <v>4</v>
      </c>
    </row>
    <row r="87" spans="1:17" ht="16" x14ac:dyDescent="0.2">
      <c r="A87" s="22" t="s">
        <v>462</v>
      </c>
      <c r="B87" s="31" t="s">
        <v>463</v>
      </c>
      <c r="C87" s="32" t="s">
        <v>299</v>
      </c>
      <c r="D87" s="32" t="s">
        <v>299</v>
      </c>
      <c r="E87" s="45" t="s">
        <v>652</v>
      </c>
      <c r="F87" s="32" t="s">
        <v>299</v>
      </c>
      <c r="G87" s="45" t="s">
        <v>652</v>
      </c>
      <c r="H87" s="45" t="s">
        <v>652</v>
      </c>
      <c r="I87" s="45" t="s">
        <v>652</v>
      </c>
      <c r="J87" s="45" t="s">
        <v>652</v>
      </c>
      <c r="K87" s="32" t="s">
        <v>299</v>
      </c>
      <c r="L87" s="45" t="s">
        <v>652</v>
      </c>
      <c r="M87" s="32" t="s">
        <v>299</v>
      </c>
      <c r="O87" s="32">
        <f t="shared" si="3"/>
        <v>5</v>
      </c>
      <c r="P87" s="32">
        <f t="shared" si="4"/>
        <v>6</v>
      </c>
      <c r="Q87" s="22">
        <f t="shared" si="5"/>
        <v>11</v>
      </c>
    </row>
    <row r="88" spans="1:17" ht="16" x14ac:dyDescent="0.2">
      <c r="A88" s="22" t="s">
        <v>464</v>
      </c>
      <c r="B88" s="31" t="s">
        <v>465</v>
      </c>
      <c r="C88" s="32" t="s">
        <v>299</v>
      </c>
      <c r="D88" s="45" t="s">
        <v>652</v>
      </c>
      <c r="E88" s="32" t="s">
        <v>299</v>
      </c>
      <c r="F88" s="45" t="s">
        <v>652</v>
      </c>
      <c r="J88" s="45" t="s">
        <v>652</v>
      </c>
      <c r="K88" s="45" t="s">
        <v>652</v>
      </c>
      <c r="O88" s="32">
        <f t="shared" si="3"/>
        <v>2</v>
      </c>
      <c r="P88" s="32">
        <f t="shared" si="4"/>
        <v>4</v>
      </c>
      <c r="Q88" s="22">
        <f t="shared" si="5"/>
        <v>6</v>
      </c>
    </row>
    <row r="89" spans="1:17" ht="16" x14ac:dyDescent="0.2">
      <c r="A89" s="22" t="s">
        <v>466</v>
      </c>
      <c r="B89" s="31" t="s">
        <v>519</v>
      </c>
      <c r="C89" s="32" t="s">
        <v>299</v>
      </c>
      <c r="D89" s="45" t="s">
        <v>652</v>
      </c>
      <c r="E89" s="45" t="s">
        <v>652</v>
      </c>
      <c r="F89" s="32" t="s">
        <v>299</v>
      </c>
      <c r="G89" s="45" t="s">
        <v>652</v>
      </c>
      <c r="H89" s="45" t="s">
        <v>652</v>
      </c>
      <c r="I89" s="45" t="s">
        <v>652</v>
      </c>
      <c r="J89" s="45" t="s">
        <v>652</v>
      </c>
      <c r="K89" s="32" t="s">
        <v>299</v>
      </c>
      <c r="M89" s="45" t="s">
        <v>652</v>
      </c>
      <c r="O89" s="32">
        <f t="shared" si="3"/>
        <v>3</v>
      </c>
      <c r="P89" s="32">
        <f t="shared" si="4"/>
        <v>7</v>
      </c>
      <c r="Q89" s="22">
        <f t="shared" si="5"/>
        <v>10</v>
      </c>
    </row>
    <row r="90" spans="1:17" ht="16" x14ac:dyDescent="0.2">
      <c r="A90" s="22" t="s">
        <v>468</v>
      </c>
      <c r="B90" s="31" t="s">
        <v>315</v>
      </c>
      <c r="D90" s="45" t="s">
        <v>652</v>
      </c>
      <c r="E90" s="45" t="s">
        <v>652</v>
      </c>
      <c r="F90" s="45" t="s">
        <v>652</v>
      </c>
      <c r="J90" s="45" t="s">
        <v>652</v>
      </c>
      <c r="K90" s="45" t="s">
        <v>652</v>
      </c>
      <c r="O90" s="32">
        <f t="shared" si="3"/>
        <v>0</v>
      </c>
      <c r="P90" s="32">
        <f t="shared" si="4"/>
        <v>5</v>
      </c>
      <c r="Q90" s="22">
        <f t="shared" si="5"/>
        <v>5</v>
      </c>
    </row>
    <row r="91" spans="1:17" ht="16" x14ac:dyDescent="0.2">
      <c r="A91" s="22" t="s">
        <v>469</v>
      </c>
      <c r="B91" s="31" t="s">
        <v>470</v>
      </c>
      <c r="C91" s="32" t="s">
        <v>299</v>
      </c>
      <c r="E91" s="45" t="s">
        <v>652</v>
      </c>
      <c r="J91" s="45" t="s">
        <v>652</v>
      </c>
      <c r="K91" s="32" t="s">
        <v>299</v>
      </c>
      <c r="O91" s="32">
        <f t="shared" si="3"/>
        <v>2</v>
      </c>
      <c r="P91" s="32">
        <f t="shared" si="4"/>
        <v>2</v>
      </c>
      <c r="Q91" s="22">
        <f t="shared" si="5"/>
        <v>4</v>
      </c>
    </row>
    <row r="92" spans="1:17" ht="16" x14ac:dyDescent="0.2">
      <c r="A92" s="22" t="s">
        <v>471</v>
      </c>
      <c r="B92" s="31" t="s">
        <v>472</v>
      </c>
      <c r="C92" s="45" t="s">
        <v>652</v>
      </c>
      <c r="D92" s="45" t="s">
        <v>652</v>
      </c>
      <c r="E92" s="45" t="s">
        <v>652</v>
      </c>
      <c r="F92" s="32" t="s">
        <v>299</v>
      </c>
      <c r="G92" s="45" t="s">
        <v>652</v>
      </c>
      <c r="H92" s="45" t="s">
        <v>652</v>
      </c>
      <c r="J92" s="45" t="s">
        <v>652</v>
      </c>
      <c r="K92" s="32" t="s">
        <v>299</v>
      </c>
      <c r="M92" s="45" t="s">
        <v>652</v>
      </c>
      <c r="N92" s="45" t="s">
        <v>652</v>
      </c>
      <c r="O92" s="32">
        <f t="shared" si="3"/>
        <v>2</v>
      </c>
      <c r="P92" s="32">
        <f t="shared" si="4"/>
        <v>8</v>
      </c>
      <c r="Q92" s="22">
        <f t="shared" si="5"/>
        <v>10</v>
      </c>
    </row>
    <row r="93" spans="1:17" ht="16" x14ac:dyDescent="0.2">
      <c r="A93" s="22" t="s">
        <v>473</v>
      </c>
      <c r="B93" s="31" t="s">
        <v>474</v>
      </c>
      <c r="C93" s="32" t="s">
        <v>299</v>
      </c>
      <c r="D93" s="32" t="s">
        <v>299</v>
      </c>
      <c r="E93" s="45" t="s">
        <v>652</v>
      </c>
      <c r="F93" s="32" t="s">
        <v>299</v>
      </c>
      <c r="H93" s="45" t="s">
        <v>652</v>
      </c>
      <c r="K93" s="32" t="s">
        <v>299</v>
      </c>
      <c r="O93" s="32">
        <f t="shared" si="3"/>
        <v>4</v>
      </c>
      <c r="P93" s="32">
        <f t="shared" si="4"/>
        <v>2</v>
      </c>
      <c r="Q93" s="22">
        <f t="shared" si="5"/>
        <v>6</v>
      </c>
    </row>
    <row r="94" spans="1:17" ht="16" x14ac:dyDescent="0.2">
      <c r="A94" s="22" t="s">
        <v>475</v>
      </c>
      <c r="B94" s="31" t="s">
        <v>520</v>
      </c>
      <c r="C94" s="45" t="s">
        <v>652</v>
      </c>
      <c r="D94" s="45" t="s">
        <v>652</v>
      </c>
      <c r="E94" s="45" t="s">
        <v>652</v>
      </c>
      <c r="F94" s="45" t="s">
        <v>652</v>
      </c>
      <c r="G94" s="45" t="s">
        <v>652</v>
      </c>
      <c r="H94" s="45" t="s">
        <v>652</v>
      </c>
      <c r="I94" s="45" t="s">
        <v>652</v>
      </c>
      <c r="J94" s="45" t="s">
        <v>652</v>
      </c>
      <c r="K94" s="32" t="s">
        <v>299</v>
      </c>
      <c r="M94" s="45" t="s">
        <v>652</v>
      </c>
      <c r="O94" s="32">
        <f t="shared" si="3"/>
        <v>1</v>
      </c>
      <c r="P94" s="32">
        <f t="shared" si="4"/>
        <v>9</v>
      </c>
      <c r="Q94" s="22">
        <f t="shared" si="5"/>
        <v>10</v>
      </c>
    </row>
    <row r="95" spans="1:17" ht="16" x14ac:dyDescent="0.2">
      <c r="A95" s="22" t="s">
        <v>477</v>
      </c>
      <c r="B95" s="31" t="s">
        <v>478</v>
      </c>
      <c r="C95" s="45" t="s">
        <v>652</v>
      </c>
      <c r="D95" s="45" t="s">
        <v>652</v>
      </c>
      <c r="E95" s="45" t="s">
        <v>652</v>
      </c>
      <c r="J95" s="45" t="s">
        <v>652</v>
      </c>
      <c r="K95" s="45" t="s">
        <v>652</v>
      </c>
      <c r="O95" s="32">
        <f t="shared" si="3"/>
        <v>0</v>
      </c>
      <c r="P95" s="32">
        <f t="shared" si="4"/>
        <v>5</v>
      </c>
      <c r="Q95" s="22">
        <f t="shared" si="5"/>
        <v>5</v>
      </c>
    </row>
    <row r="96" spans="1:17" ht="16" x14ac:dyDescent="0.2">
      <c r="A96" s="22" t="s">
        <v>479</v>
      </c>
      <c r="B96" s="31" t="s">
        <v>521</v>
      </c>
      <c r="O96" s="32">
        <f t="shared" si="3"/>
        <v>0</v>
      </c>
      <c r="P96" s="32">
        <f t="shared" si="4"/>
        <v>0</v>
      </c>
      <c r="Q96" s="22">
        <f t="shared" si="5"/>
        <v>0</v>
      </c>
    </row>
    <row r="97" spans="1:17" ht="16" x14ac:dyDescent="0.2">
      <c r="A97" s="22" t="s">
        <v>481</v>
      </c>
      <c r="B97" s="31" t="s">
        <v>382</v>
      </c>
      <c r="C97" s="45" t="s">
        <v>652</v>
      </c>
      <c r="D97" s="45" t="s">
        <v>652</v>
      </c>
      <c r="F97" s="45" t="s">
        <v>652</v>
      </c>
      <c r="G97" s="45" t="s">
        <v>652</v>
      </c>
      <c r="H97" s="45" t="s">
        <v>652</v>
      </c>
      <c r="I97" s="45" t="s">
        <v>652</v>
      </c>
      <c r="J97" s="45" t="s">
        <v>652</v>
      </c>
      <c r="K97" s="45" t="s">
        <v>652</v>
      </c>
      <c r="M97" s="45" t="s">
        <v>652</v>
      </c>
      <c r="O97" s="32">
        <f t="shared" si="3"/>
        <v>0</v>
      </c>
      <c r="P97" s="32">
        <f t="shared" si="4"/>
        <v>9</v>
      </c>
      <c r="Q97" s="22">
        <f t="shared" si="5"/>
        <v>9</v>
      </c>
    </row>
    <row r="98" spans="1:17" ht="16" x14ac:dyDescent="0.2">
      <c r="A98" s="22" t="s">
        <v>483</v>
      </c>
      <c r="B98" s="31" t="s">
        <v>484</v>
      </c>
      <c r="C98" s="32" t="s">
        <v>299</v>
      </c>
      <c r="D98" s="32" t="s">
        <v>299</v>
      </c>
      <c r="E98" s="45" t="s">
        <v>652</v>
      </c>
      <c r="F98" s="32" t="s">
        <v>299</v>
      </c>
      <c r="J98" s="45" t="s">
        <v>652</v>
      </c>
      <c r="K98" s="32" t="s">
        <v>299</v>
      </c>
      <c r="O98" s="32">
        <f t="shared" si="3"/>
        <v>4</v>
      </c>
      <c r="P98" s="32">
        <f t="shared" si="4"/>
        <v>2</v>
      </c>
      <c r="Q98" s="22">
        <f t="shared" si="5"/>
        <v>6</v>
      </c>
    </row>
    <row r="99" spans="1:17" ht="16" x14ac:dyDescent="0.2">
      <c r="A99" s="22" t="s">
        <v>485</v>
      </c>
      <c r="B99" s="31" t="s">
        <v>96</v>
      </c>
      <c r="C99" s="45" t="s">
        <v>652</v>
      </c>
      <c r="D99" s="45" t="s">
        <v>652</v>
      </c>
      <c r="E99" s="45" t="s">
        <v>652</v>
      </c>
      <c r="F99" s="45" t="s">
        <v>652</v>
      </c>
      <c r="G99" s="45" t="s">
        <v>652</v>
      </c>
      <c r="H99" s="45" t="s">
        <v>652</v>
      </c>
      <c r="I99" s="45" t="s">
        <v>652</v>
      </c>
      <c r="J99" s="45" t="s">
        <v>652</v>
      </c>
      <c r="K99" s="32" t="s">
        <v>299</v>
      </c>
      <c r="M99" s="45" t="s">
        <v>652</v>
      </c>
      <c r="N99" s="45" t="s">
        <v>652</v>
      </c>
      <c r="O99" s="32">
        <f t="shared" si="3"/>
        <v>1</v>
      </c>
      <c r="P99" s="32">
        <f t="shared" si="4"/>
        <v>10</v>
      </c>
      <c r="Q99" s="22">
        <f t="shared" si="5"/>
        <v>11</v>
      </c>
    </row>
    <row r="100" spans="1:17" ht="16" x14ac:dyDescent="0.2">
      <c r="A100" s="22" t="s">
        <v>486</v>
      </c>
      <c r="B100" s="31" t="s">
        <v>487</v>
      </c>
      <c r="C100" s="45" t="s">
        <v>652</v>
      </c>
      <c r="D100" s="45" t="s">
        <v>652</v>
      </c>
      <c r="E100" s="45" t="s">
        <v>652</v>
      </c>
      <c r="F100" s="45" t="s">
        <v>652</v>
      </c>
      <c r="J100" s="45" t="s">
        <v>652</v>
      </c>
      <c r="K100" s="45" t="s">
        <v>652</v>
      </c>
      <c r="O100" s="32">
        <f t="shared" si="3"/>
        <v>0</v>
      </c>
      <c r="P100" s="32">
        <f t="shared" si="4"/>
        <v>6</v>
      </c>
      <c r="Q100" s="22">
        <f t="shared" si="5"/>
        <v>6</v>
      </c>
    </row>
    <row r="101" spans="1:17" ht="16" x14ac:dyDescent="0.2">
      <c r="A101" s="22" t="s">
        <v>488</v>
      </c>
      <c r="B101" s="31" t="s">
        <v>489</v>
      </c>
      <c r="C101" s="45" t="s">
        <v>652</v>
      </c>
      <c r="D101" s="45" t="s">
        <v>652</v>
      </c>
      <c r="E101" s="45" t="s">
        <v>652</v>
      </c>
      <c r="F101" s="45" t="s">
        <v>652</v>
      </c>
      <c r="G101" s="45" t="s">
        <v>652</v>
      </c>
      <c r="H101" s="45" t="s">
        <v>652</v>
      </c>
      <c r="J101" s="45" t="s">
        <v>652</v>
      </c>
      <c r="K101" s="45" t="s">
        <v>652</v>
      </c>
      <c r="L101" s="45" t="s">
        <v>652</v>
      </c>
      <c r="M101" s="45" t="s">
        <v>652</v>
      </c>
      <c r="N101" s="45" t="s">
        <v>652</v>
      </c>
      <c r="O101" s="32">
        <f t="shared" si="3"/>
        <v>0</v>
      </c>
      <c r="P101" s="32">
        <f t="shared" si="4"/>
        <v>11</v>
      </c>
      <c r="Q101" s="22">
        <f t="shared" si="5"/>
        <v>11</v>
      </c>
    </row>
    <row r="102" spans="1:17" ht="16" x14ac:dyDescent="0.2">
      <c r="B102" s="31" t="s">
        <v>299</v>
      </c>
      <c r="C102" s="22">
        <f>COUNTIF(C2:C101,"FP")</f>
        <v>49</v>
      </c>
      <c r="D102" s="22">
        <f t="shared" ref="D102:N102" si="6">COUNTIF(D2:D101,"FP")</f>
        <v>28</v>
      </c>
      <c r="E102" s="22">
        <f t="shared" si="6"/>
        <v>8</v>
      </c>
      <c r="F102" s="22">
        <f t="shared" si="6"/>
        <v>32</v>
      </c>
      <c r="G102" s="22">
        <f t="shared" si="6"/>
        <v>0</v>
      </c>
      <c r="H102" s="22">
        <f t="shared" si="6"/>
        <v>1</v>
      </c>
      <c r="I102" s="22">
        <f t="shared" si="6"/>
        <v>0</v>
      </c>
      <c r="J102" s="22">
        <f t="shared" si="6"/>
        <v>0</v>
      </c>
      <c r="K102" s="22">
        <f t="shared" si="6"/>
        <v>62</v>
      </c>
      <c r="L102" s="22">
        <f t="shared" si="6"/>
        <v>2</v>
      </c>
      <c r="M102" s="22">
        <f t="shared" si="6"/>
        <v>10</v>
      </c>
      <c r="N102" s="22">
        <f t="shared" si="6"/>
        <v>3</v>
      </c>
      <c r="O102" s="22">
        <f t="shared" ref="O102:P102" si="7">SUM(O2:O101)/100</f>
        <v>1.95</v>
      </c>
      <c r="P102" s="22">
        <f t="shared" si="7"/>
        <v>4.16</v>
      </c>
      <c r="Q102" s="22">
        <f>SUM(Q2:Q101)/100</f>
        <v>6.11</v>
      </c>
    </row>
    <row r="103" spans="1:17" ht="16" x14ac:dyDescent="0.2">
      <c r="B103" s="31" t="s">
        <v>652</v>
      </c>
      <c r="C103" s="22">
        <f>COUNTIF(C2:C101,"XX")</f>
        <v>45</v>
      </c>
      <c r="D103" s="22">
        <f t="shared" ref="D103:N103" si="8">COUNTIF(D2:D101,"XX")</f>
        <v>65</v>
      </c>
      <c r="E103" s="22">
        <f t="shared" si="8"/>
        <v>81</v>
      </c>
      <c r="F103" s="22">
        <f t="shared" si="8"/>
        <v>28</v>
      </c>
      <c r="G103" s="22">
        <f t="shared" si="8"/>
        <v>24</v>
      </c>
      <c r="H103" s="22">
        <f t="shared" si="8"/>
        <v>27</v>
      </c>
      <c r="I103" s="22">
        <f t="shared" si="8"/>
        <v>14</v>
      </c>
      <c r="J103" s="22">
        <f t="shared" si="8"/>
        <v>70</v>
      </c>
      <c r="K103" s="22">
        <f t="shared" si="8"/>
        <v>24</v>
      </c>
      <c r="L103" s="22">
        <f t="shared" si="8"/>
        <v>9</v>
      </c>
      <c r="M103" s="22">
        <f t="shared" si="8"/>
        <v>22</v>
      </c>
      <c r="N103" s="22">
        <f t="shared" si="8"/>
        <v>7</v>
      </c>
    </row>
    <row r="104" spans="1:17" ht="16" x14ac:dyDescent="0.2">
      <c r="B104" s="31" t="s">
        <v>523</v>
      </c>
      <c r="C104" s="22">
        <f>SUM(C102,C103)</f>
        <v>94</v>
      </c>
      <c r="D104" s="22">
        <f t="shared" ref="D104:N104" si="9">SUM(D102,D103)</f>
        <v>93</v>
      </c>
      <c r="E104" s="22">
        <f t="shared" si="9"/>
        <v>89</v>
      </c>
      <c r="F104" s="22">
        <f t="shared" si="9"/>
        <v>60</v>
      </c>
      <c r="G104" s="22">
        <f t="shared" si="9"/>
        <v>24</v>
      </c>
      <c r="H104" s="22">
        <f t="shared" si="9"/>
        <v>28</v>
      </c>
      <c r="I104" s="22">
        <f t="shared" si="9"/>
        <v>14</v>
      </c>
      <c r="J104" s="22">
        <f t="shared" si="9"/>
        <v>70</v>
      </c>
      <c r="K104" s="22">
        <f t="shared" si="9"/>
        <v>86</v>
      </c>
      <c r="L104" s="22">
        <f t="shared" si="9"/>
        <v>11</v>
      </c>
      <c r="M104" s="22">
        <f t="shared" si="9"/>
        <v>32</v>
      </c>
      <c r="N104" s="22">
        <f t="shared" si="9"/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619A-0F80-7C4C-93CE-DEE0C5CB0314}">
  <dimension ref="A1:O104"/>
  <sheetViews>
    <sheetView tabSelected="1" workbookViewId="0">
      <pane ySplit="1" topLeftCell="A75" activePane="bottomLeft" state="frozen"/>
      <selection pane="bottomLeft" activeCell="T125" sqref="T125"/>
    </sheetView>
  </sheetViews>
  <sheetFormatPr baseColWidth="10" defaultColWidth="8.83203125" defaultRowHeight="15" x14ac:dyDescent="0.2"/>
  <cols>
    <col min="1" max="1" width="8" style="22" customWidth="1"/>
    <col min="2" max="2" width="28" style="22" customWidth="1"/>
    <col min="3" max="12" width="22" style="22" customWidth="1"/>
    <col min="13" max="16384" width="8.83203125" style="22"/>
  </cols>
  <sheetData>
    <row r="1" spans="1:15" ht="32" x14ac:dyDescent="0.2">
      <c r="A1" s="30" t="s">
        <v>490</v>
      </c>
      <c r="B1" s="30" t="s">
        <v>491</v>
      </c>
      <c r="C1" s="30" t="s">
        <v>492</v>
      </c>
      <c r="D1" s="30" t="s">
        <v>493</v>
      </c>
      <c r="E1" s="30" t="s">
        <v>494</v>
      </c>
      <c r="F1" s="30" t="s">
        <v>495</v>
      </c>
      <c r="G1" s="30" t="s">
        <v>496</v>
      </c>
      <c r="H1" s="30" t="s">
        <v>497</v>
      </c>
      <c r="I1" s="30" t="s">
        <v>498</v>
      </c>
      <c r="J1" s="30" t="s">
        <v>500</v>
      </c>
      <c r="K1" s="30" t="s">
        <v>134</v>
      </c>
      <c r="L1" s="30" t="s">
        <v>135</v>
      </c>
      <c r="M1" s="30" t="s">
        <v>299</v>
      </c>
      <c r="N1" s="30" t="s">
        <v>652</v>
      </c>
      <c r="O1" s="30" t="s">
        <v>523</v>
      </c>
    </row>
    <row r="2" spans="1:15" ht="16" x14ac:dyDescent="0.2">
      <c r="A2" s="22" t="s">
        <v>297</v>
      </c>
      <c r="B2" s="31" t="s">
        <v>501</v>
      </c>
      <c r="C2" s="32" t="s">
        <v>299</v>
      </c>
      <c r="D2" s="32" t="s">
        <v>299</v>
      </c>
      <c r="E2" s="45" t="s">
        <v>652</v>
      </c>
      <c r="K2" s="32" t="s">
        <v>299</v>
      </c>
      <c r="L2" s="32" t="s">
        <v>299</v>
      </c>
      <c r="M2" s="22">
        <f t="shared" ref="M2:M65" si="0">COUNTIF(C2:L2, "FP")</f>
        <v>4</v>
      </c>
      <c r="N2" s="22">
        <f t="shared" ref="N2:N65" si="1">COUNTIF(C2:L2, "XX")</f>
        <v>1</v>
      </c>
      <c r="O2" s="22">
        <f>M2+N2</f>
        <v>5</v>
      </c>
    </row>
    <row r="3" spans="1:15" ht="16" x14ac:dyDescent="0.2">
      <c r="A3" s="22" t="s">
        <v>300</v>
      </c>
      <c r="B3" s="31" t="s">
        <v>1</v>
      </c>
      <c r="C3" s="45" t="s">
        <v>652</v>
      </c>
      <c r="D3" s="45" t="s">
        <v>652</v>
      </c>
      <c r="E3" s="45" t="s">
        <v>652</v>
      </c>
      <c r="K3" s="45" t="s">
        <v>652</v>
      </c>
      <c r="M3" s="22">
        <f t="shared" si="0"/>
        <v>0</v>
      </c>
      <c r="N3" s="22">
        <f t="shared" si="1"/>
        <v>4</v>
      </c>
      <c r="O3" s="22">
        <f t="shared" ref="O3:O66" si="2">M3+N3</f>
        <v>4</v>
      </c>
    </row>
    <row r="4" spans="1:15" ht="16" x14ac:dyDescent="0.2">
      <c r="A4" s="22" t="s">
        <v>302</v>
      </c>
      <c r="B4" s="31" t="s">
        <v>303</v>
      </c>
      <c r="C4" s="32" t="s">
        <v>299</v>
      </c>
      <c r="D4" s="32" t="s">
        <v>299</v>
      </c>
      <c r="E4" s="45" t="s">
        <v>652</v>
      </c>
      <c r="H4" s="45" t="s">
        <v>652</v>
      </c>
      <c r="K4" s="32" t="s">
        <v>299</v>
      </c>
      <c r="M4" s="22">
        <f t="shared" si="0"/>
        <v>3</v>
      </c>
      <c r="N4" s="22">
        <f t="shared" si="1"/>
        <v>2</v>
      </c>
      <c r="O4" s="22">
        <f t="shared" si="2"/>
        <v>5</v>
      </c>
    </row>
    <row r="5" spans="1:15" ht="16" x14ac:dyDescent="0.2">
      <c r="A5" s="22" t="s">
        <v>304</v>
      </c>
      <c r="B5" s="31" t="s">
        <v>305</v>
      </c>
      <c r="C5" s="32" t="s">
        <v>299</v>
      </c>
      <c r="E5" s="45" t="s">
        <v>652</v>
      </c>
      <c r="K5" s="32" t="s">
        <v>299</v>
      </c>
      <c r="L5" s="32" t="s">
        <v>299</v>
      </c>
      <c r="M5" s="22">
        <f t="shared" si="0"/>
        <v>3</v>
      </c>
      <c r="N5" s="22">
        <f t="shared" si="1"/>
        <v>1</v>
      </c>
      <c r="O5" s="22">
        <f t="shared" si="2"/>
        <v>4</v>
      </c>
    </row>
    <row r="6" spans="1:15" ht="16" x14ac:dyDescent="0.2">
      <c r="A6" s="22" t="s">
        <v>306</v>
      </c>
      <c r="B6" s="31" t="s">
        <v>307</v>
      </c>
      <c r="M6" s="22">
        <f t="shared" si="0"/>
        <v>0</v>
      </c>
      <c r="N6" s="22">
        <f t="shared" si="1"/>
        <v>0</v>
      </c>
      <c r="O6" s="22">
        <f t="shared" si="2"/>
        <v>0</v>
      </c>
    </row>
    <row r="7" spans="1:15" ht="16" x14ac:dyDescent="0.2">
      <c r="A7" s="22" t="s">
        <v>308</v>
      </c>
      <c r="B7" s="31" t="s">
        <v>309</v>
      </c>
      <c r="C7" s="45" t="s">
        <v>652</v>
      </c>
      <c r="D7" s="32" t="s">
        <v>299</v>
      </c>
      <c r="E7" s="45" t="s">
        <v>652</v>
      </c>
      <c r="F7" s="32" t="s">
        <v>299</v>
      </c>
      <c r="J7" s="32" t="s">
        <v>299</v>
      </c>
      <c r="K7" s="32" t="s">
        <v>299</v>
      </c>
      <c r="L7" s="45" t="s">
        <v>652</v>
      </c>
      <c r="M7" s="22">
        <f t="shared" si="0"/>
        <v>4</v>
      </c>
      <c r="N7" s="22">
        <f t="shared" si="1"/>
        <v>3</v>
      </c>
      <c r="O7" s="22">
        <f t="shared" si="2"/>
        <v>7</v>
      </c>
    </row>
    <row r="8" spans="1:15" ht="16" x14ac:dyDescent="0.2">
      <c r="A8" s="22" t="s">
        <v>310</v>
      </c>
      <c r="B8" s="31" t="s">
        <v>311</v>
      </c>
      <c r="C8" s="32" t="s">
        <v>299</v>
      </c>
      <c r="E8" s="45" t="s">
        <v>652</v>
      </c>
      <c r="H8" s="45" t="s">
        <v>652</v>
      </c>
      <c r="K8" s="32" t="s">
        <v>299</v>
      </c>
      <c r="M8" s="22">
        <f t="shared" si="0"/>
        <v>2</v>
      </c>
      <c r="N8" s="22">
        <f t="shared" si="1"/>
        <v>2</v>
      </c>
      <c r="O8" s="22">
        <f t="shared" si="2"/>
        <v>4</v>
      </c>
    </row>
    <row r="9" spans="1:15" ht="16" x14ac:dyDescent="0.2">
      <c r="A9" s="22" t="s">
        <v>312</v>
      </c>
      <c r="B9" s="31" t="s">
        <v>325</v>
      </c>
      <c r="C9" s="32" t="s">
        <v>299</v>
      </c>
      <c r="D9" s="32" t="s">
        <v>299</v>
      </c>
      <c r="E9" s="45" t="s">
        <v>652</v>
      </c>
      <c r="K9" s="32" t="s">
        <v>299</v>
      </c>
      <c r="L9" s="32" t="s">
        <v>299</v>
      </c>
      <c r="M9" s="22">
        <f t="shared" si="0"/>
        <v>4</v>
      </c>
      <c r="N9" s="22">
        <f t="shared" si="1"/>
        <v>1</v>
      </c>
      <c r="O9" s="22">
        <f t="shared" si="2"/>
        <v>5</v>
      </c>
    </row>
    <row r="10" spans="1:15" ht="16" x14ac:dyDescent="0.2">
      <c r="A10" s="22" t="s">
        <v>314</v>
      </c>
      <c r="B10" s="31" t="s">
        <v>315</v>
      </c>
      <c r="D10" s="45" t="s">
        <v>652</v>
      </c>
      <c r="E10" s="45" t="s">
        <v>652</v>
      </c>
      <c r="F10" s="32" t="s">
        <v>299</v>
      </c>
      <c r="J10" s="32" t="s">
        <v>299</v>
      </c>
      <c r="K10" s="32" t="s">
        <v>299</v>
      </c>
      <c r="M10" s="22">
        <f t="shared" si="0"/>
        <v>3</v>
      </c>
      <c r="N10" s="22">
        <f t="shared" si="1"/>
        <v>2</v>
      </c>
      <c r="O10" s="22">
        <f t="shared" si="2"/>
        <v>5</v>
      </c>
    </row>
    <row r="11" spans="1:15" ht="16" x14ac:dyDescent="0.2">
      <c r="A11" s="22" t="s">
        <v>316</v>
      </c>
      <c r="B11" s="31" t="s">
        <v>502</v>
      </c>
      <c r="M11" s="22">
        <f t="shared" si="0"/>
        <v>0</v>
      </c>
      <c r="N11" s="22">
        <f t="shared" si="1"/>
        <v>0</v>
      </c>
      <c r="O11" s="22">
        <f t="shared" si="2"/>
        <v>0</v>
      </c>
    </row>
    <row r="12" spans="1:15" ht="16" x14ac:dyDescent="0.2">
      <c r="A12" s="22" t="s">
        <v>318</v>
      </c>
      <c r="B12" s="31" t="s">
        <v>319</v>
      </c>
      <c r="M12" s="22">
        <f t="shared" si="0"/>
        <v>0</v>
      </c>
      <c r="N12" s="22">
        <f t="shared" si="1"/>
        <v>0</v>
      </c>
      <c r="O12" s="22">
        <f t="shared" si="2"/>
        <v>0</v>
      </c>
    </row>
    <row r="13" spans="1:15" ht="16" x14ac:dyDescent="0.2">
      <c r="A13" s="22" t="s">
        <v>320</v>
      </c>
      <c r="B13" s="31" t="s">
        <v>321</v>
      </c>
      <c r="C13" s="32" t="s">
        <v>299</v>
      </c>
      <c r="K13" s="32" t="s">
        <v>299</v>
      </c>
      <c r="M13" s="22">
        <f t="shared" si="0"/>
        <v>2</v>
      </c>
      <c r="N13" s="22">
        <f t="shared" si="1"/>
        <v>0</v>
      </c>
      <c r="O13" s="22">
        <f t="shared" si="2"/>
        <v>2</v>
      </c>
    </row>
    <row r="14" spans="1:15" ht="16" x14ac:dyDescent="0.2">
      <c r="A14" s="22" t="s">
        <v>322</v>
      </c>
      <c r="B14" s="31" t="s">
        <v>323</v>
      </c>
      <c r="C14" s="32" t="s">
        <v>299</v>
      </c>
      <c r="D14" s="45" t="s">
        <v>652</v>
      </c>
      <c r="E14" s="45" t="s">
        <v>652</v>
      </c>
      <c r="F14" s="32" t="s">
        <v>299</v>
      </c>
      <c r="G14" s="45" t="s">
        <v>652</v>
      </c>
      <c r="H14" s="45" t="s">
        <v>652</v>
      </c>
      <c r="K14" s="32" t="s">
        <v>299</v>
      </c>
      <c r="L14" s="32" t="s">
        <v>299</v>
      </c>
      <c r="M14" s="22">
        <f t="shared" si="0"/>
        <v>4</v>
      </c>
      <c r="N14" s="22">
        <f t="shared" si="1"/>
        <v>4</v>
      </c>
      <c r="O14" s="22">
        <f t="shared" si="2"/>
        <v>8</v>
      </c>
    </row>
    <row r="15" spans="1:15" ht="16" x14ac:dyDescent="0.2">
      <c r="A15" s="22" t="s">
        <v>324</v>
      </c>
      <c r="B15" s="31" t="s">
        <v>325</v>
      </c>
      <c r="M15" s="22">
        <f t="shared" si="0"/>
        <v>0</v>
      </c>
      <c r="N15" s="22">
        <f t="shared" si="1"/>
        <v>0</v>
      </c>
      <c r="O15" s="22">
        <f t="shared" si="2"/>
        <v>0</v>
      </c>
    </row>
    <row r="16" spans="1:15" ht="16" x14ac:dyDescent="0.2">
      <c r="A16" s="22" t="s">
        <v>326</v>
      </c>
      <c r="B16" s="31" t="s">
        <v>303</v>
      </c>
      <c r="C16" s="45" t="s">
        <v>652</v>
      </c>
      <c r="D16" s="45" t="s">
        <v>652</v>
      </c>
      <c r="E16" s="45" t="s">
        <v>652</v>
      </c>
      <c r="H16" s="45" t="s">
        <v>652</v>
      </c>
      <c r="K16" s="32" t="s">
        <v>299</v>
      </c>
      <c r="M16" s="22">
        <f t="shared" si="0"/>
        <v>1</v>
      </c>
      <c r="N16" s="22">
        <f t="shared" si="1"/>
        <v>4</v>
      </c>
      <c r="O16" s="22">
        <f t="shared" si="2"/>
        <v>5</v>
      </c>
    </row>
    <row r="17" spans="1:15" ht="16" x14ac:dyDescent="0.2">
      <c r="A17" s="22" t="s">
        <v>328</v>
      </c>
      <c r="B17" s="31" t="s">
        <v>503</v>
      </c>
      <c r="M17" s="22">
        <f t="shared" si="0"/>
        <v>0</v>
      </c>
      <c r="N17" s="22">
        <f t="shared" si="1"/>
        <v>0</v>
      </c>
      <c r="O17" s="22">
        <f t="shared" si="2"/>
        <v>0</v>
      </c>
    </row>
    <row r="18" spans="1:15" ht="16" x14ac:dyDescent="0.2">
      <c r="A18" s="22" t="s">
        <v>330</v>
      </c>
      <c r="B18" s="31" t="s">
        <v>504</v>
      </c>
      <c r="C18" s="32" t="s">
        <v>299</v>
      </c>
      <c r="D18" s="32" t="s">
        <v>299</v>
      </c>
      <c r="E18" s="45" t="s">
        <v>652</v>
      </c>
      <c r="K18" s="32" t="s">
        <v>299</v>
      </c>
      <c r="L18" s="32" t="s">
        <v>299</v>
      </c>
      <c r="M18" s="22">
        <f t="shared" si="0"/>
        <v>4</v>
      </c>
      <c r="N18" s="22">
        <f t="shared" si="1"/>
        <v>1</v>
      </c>
      <c r="O18" s="22">
        <f t="shared" si="2"/>
        <v>5</v>
      </c>
    </row>
    <row r="19" spans="1:15" ht="16" x14ac:dyDescent="0.2">
      <c r="A19" s="22" t="s">
        <v>332</v>
      </c>
      <c r="B19" s="31" t="s">
        <v>505</v>
      </c>
      <c r="C19" s="45" t="s">
        <v>652</v>
      </c>
      <c r="D19" s="45" t="s">
        <v>652</v>
      </c>
      <c r="E19" s="45" t="s">
        <v>652</v>
      </c>
      <c r="F19" s="45" t="s">
        <v>652</v>
      </c>
      <c r="G19" s="45" t="s">
        <v>652</v>
      </c>
      <c r="J19" s="45" t="s">
        <v>652</v>
      </c>
      <c r="K19" s="45" t="s">
        <v>652</v>
      </c>
      <c r="L19" s="45" t="s">
        <v>652</v>
      </c>
      <c r="M19" s="22">
        <f t="shared" si="0"/>
        <v>0</v>
      </c>
      <c r="N19" s="22">
        <f t="shared" si="1"/>
        <v>8</v>
      </c>
      <c r="O19" s="22">
        <f t="shared" si="2"/>
        <v>8</v>
      </c>
    </row>
    <row r="20" spans="1:15" ht="16" x14ac:dyDescent="0.2">
      <c r="A20" s="22" t="s">
        <v>334</v>
      </c>
      <c r="B20" s="31" t="s">
        <v>506</v>
      </c>
      <c r="C20" s="32" t="s">
        <v>299</v>
      </c>
      <c r="K20" s="32" t="s">
        <v>299</v>
      </c>
      <c r="M20" s="22">
        <f t="shared" si="0"/>
        <v>2</v>
      </c>
      <c r="N20" s="22">
        <f t="shared" si="1"/>
        <v>0</v>
      </c>
      <c r="O20" s="22">
        <f t="shared" si="2"/>
        <v>2</v>
      </c>
    </row>
    <row r="21" spans="1:15" ht="16" x14ac:dyDescent="0.2">
      <c r="A21" s="22" t="s">
        <v>336</v>
      </c>
      <c r="B21" s="31" t="s">
        <v>337</v>
      </c>
      <c r="M21" s="22">
        <f t="shared" si="0"/>
        <v>0</v>
      </c>
      <c r="N21" s="22">
        <f t="shared" si="1"/>
        <v>0</v>
      </c>
      <c r="O21" s="22">
        <f t="shared" si="2"/>
        <v>0</v>
      </c>
    </row>
    <row r="22" spans="1:15" ht="16" x14ac:dyDescent="0.2">
      <c r="A22" s="22" t="s">
        <v>338</v>
      </c>
      <c r="B22" s="31" t="s">
        <v>339</v>
      </c>
      <c r="C22" s="32" t="s">
        <v>299</v>
      </c>
      <c r="D22" s="32" t="s">
        <v>299</v>
      </c>
      <c r="E22" s="45" t="s">
        <v>652</v>
      </c>
      <c r="J22" s="32" t="s">
        <v>299</v>
      </c>
      <c r="K22" s="32" t="s">
        <v>299</v>
      </c>
      <c r="L22" s="32" t="s">
        <v>299</v>
      </c>
      <c r="M22" s="22">
        <f t="shared" si="0"/>
        <v>5</v>
      </c>
      <c r="N22" s="22">
        <f t="shared" si="1"/>
        <v>1</v>
      </c>
      <c r="O22" s="22">
        <f t="shared" si="2"/>
        <v>6</v>
      </c>
    </row>
    <row r="23" spans="1:15" ht="16" x14ac:dyDescent="0.2">
      <c r="A23" s="22" t="s">
        <v>340</v>
      </c>
      <c r="B23" s="31" t="s">
        <v>341</v>
      </c>
      <c r="M23" s="22">
        <f t="shared" si="0"/>
        <v>0</v>
      </c>
      <c r="N23" s="22">
        <f t="shared" si="1"/>
        <v>0</v>
      </c>
      <c r="O23" s="22">
        <f t="shared" si="2"/>
        <v>0</v>
      </c>
    </row>
    <row r="24" spans="1:15" ht="16" x14ac:dyDescent="0.2">
      <c r="A24" s="22" t="s">
        <v>342</v>
      </c>
      <c r="B24" s="31" t="s">
        <v>343</v>
      </c>
      <c r="D24" s="32" t="s">
        <v>299</v>
      </c>
      <c r="K24" s="32" t="s">
        <v>299</v>
      </c>
      <c r="M24" s="22">
        <f t="shared" si="0"/>
        <v>2</v>
      </c>
      <c r="N24" s="22">
        <f t="shared" si="1"/>
        <v>0</v>
      </c>
      <c r="O24" s="22">
        <f t="shared" si="2"/>
        <v>2</v>
      </c>
    </row>
    <row r="25" spans="1:15" ht="16" x14ac:dyDescent="0.2">
      <c r="A25" s="22" t="s">
        <v>344</v>
      </c>
      <c r="B25" s="31" t="s">
        <v>345</v>
      </c>
      <c r="C25" s="32" t="s">
        <v>299</v>
      </c>
      <c r="D25" s="45" t="s">
        <v>652</v>
      </c>
      <c r="E25" s="45" t="s">
        <v>652</v>
      </c>
      <c r="F25" s="32" t="s">
        <v>299</v>
      </c>
      <c r="J25" s="32" t="s">
        <v>299</v>
      </c>
      <c r="K25" s="32" t="s">
        <v>299</v>
      </c>
      <c r="M25" s="22">
        <f t="shared" si="0"/>
        <v>4</v>
      </c>
      <c r="N25" s="22">
        <f t="shared" si="1"/>
        <v>2</v>
      </c>
      <c r="O25" s="22">
        <f t="shared" si="2"/>
        <v>6</v>
      </c>
    </row>
    <row r="26" spans="1:15" ht="16" x14ac:dyDescent="0.2">
      <c r="A26" s="22" t="s">
        <v>346</v>
      </c>
      <c r="B26" s="31" t="s">
        <v>347</v>
      </c>
      <c r="C26" s="32" t="s">
        <v>299</v>
      </c>
      <c r="D26" s="45" t="s">
        <v>652</v>
      </c>
      <c r="E26" s="45" t="s">
        <v>652</v>
      </c>
      <c r="K26" s="32" t="s">
        <v>299</v>
      </c>
      <c r="M26" s="22">
        <f t="shared" si="0"/>
        <v>2</v>
      </c>
      <c r="N26" s="22">
        <f t="shared" si="1"/>
        <v>2</v>
      </c>
      <c r="O26" s="22">
        <f t="shared" si="2"/>
        <v>4</v>
      </c>
    </row>
    <row r="27" spans="1:15" ht="16" x14ac:dyDescent="0.2">
      <c r="A27" s="22" t="s">
        <v>348</v>
      </c>
      <c r="B27" s="31" t="s">
        <v>507</v>
      </c>
      <c r="E27" s="45" t="s">
        <v>652</v>
      </c>
      <c r="K27" s="32" t="s">
        <v>299</v>
      </c>
      <c r="M27" s="22">
        <f t="shared" si="0"/>
        <v>1</v>
      </c>
      <c r="N27" s="22">
        <f t="shared" si="1"/>
        <v>1</v>
      </c>
      <c r="O27" s="22">
        <f t="shared" si="2"/>
        <v>2</v>
      </c>
    </row>
    <row r="28" spans="1:15" ht="16" x14ac:dyDescent="0.2">
      <c r="A28" s="22" t="s">
        <v>350</v>
      </c>
      <c r="B28" s="31" t="s">
        <v>508</v>
      </c>
      <c r="C28" s="32" t="s">
        <v>299</v>
      </c>
      <c r="D28" s="45" t="s">
        <v>652</v>
      </c>
      <c r="E28" s="45" t="s">
        <v>652</v>
      </c>
      <c r="F28" s="32" t="s">
        <v>299</v>
      </c>
      <c r="J28" s="32" t="s">
        <v>299</v>
      </c>
      <c r="K28" s="32" t="s">
        <v>299</v>
      </c>
      <c r="M28" s="22">
        <f t="shared" si="0"/>
        <v>4</v>
      </c>
      <c r="N28" s="22">
        <f t="shared" si="1"/>
        <v>2</v>
      </c>
      <c r="O28" s="22">
        <f t="shared" si="2"/>
        <v>6</v>
      </c>
    </row>
    <row r="29" spans="1:15" ht="16" x14ac:dyDescent="0.2">
      <c r="A29" s="22" t="s">
        <v>352</v>
      </c>
      <c r="B29" s="31" t="s">
        <v>353</v>
      </c>
      <c r="E29" s="45" t="s">
        <v>652</v>
      </c>
      <c r="K29" s="45" t="s">
        <v>652</v>
      </c>
      <c r="M29" s="22">
        <f t="shared" si="0"/>
        <v>0</v>
      </c>
      <c r="N29" s="22">
        <f t="shared" si="1"/>
        <v>2</v>
      </c>
      <c r="O29" s="22">
        <f t="shared" si="2"/>
        <v>2</v>
      </c>
    </row>
    <row r="30" spans="1:15" ht="16" x14ac:dyDescent="0.2">
      <c r="A30" s="22" t="s">
        <v>354</v>
      </c>
      <c r="B30" s="31" t="s">
        <v>355</v>
      </c>
      <c r="M30" s="22">
        <f t="shared" si="0"/>
        <v>0</v>
      </c>
      <c r="N30" s="22">
        <f t="shared" si="1"/>
        <v>0</v>
      </c>
      <c r="O30" s="22">
        <f t="shared" si="2"/>
        <v>0</v>
      </c>
    </row>
    <row r="31" spans="1:15" ht="16" x14ac:dyDescent="0.2">
      <c r="A31" s="22" t="s">
        <v>356</v>
      </c>
      <c r="B31" s="31" t="s">
        <v>357</v>
      </c>
      <c r="C31" s="32" t="s">
        <v>299</v>
      </c>
      <c r="D31" s="32" t="s">
        <v>299</v>
      </c>
      <c r="E31" s="32" t="s">
        <v>299</v>
      </c>
      <c r="K31" s="32" t="s">
        <v>299</v>
      </c>
      <c r="L31" s="32" t="s">
        <v>299</v>
      </c>
      <c r="M31" s="22">
        <f t="shared" si="0"/>
        <v>5</v>
      </c>
      <c r="N31" s="22">
        <f t="shared" si="1"/>
        <v>0</v>
      </c>
      <c r="O31" s="22">
        <f t="shared" si="2"/>
        <v>5</v>
      </c>
    </row>
    <row r="32" spans="1:15" ht="16" x14ac:dyDescent="0.2">
      <c r="A32" s="22" t="s">
        <v>358</v>
      </c>
      <c r="B32" s="31" t="s">
        <v>359</v>
      </c>
      <c r="C32" s="45" t="s">
        <v>652</v>
      </c>
      <c r="D32" s="45" t="s">
        <v>652</v>
      </c>
      <c r="E32" s="45" t="s">
        <v>652</v>
      </c>
      <c r="K32" s="45" t="s">
        <v>652</v>
      </c>
      <c r="M32" s="22">
        <f t="shared" si="0"/>
        <v>0</v>
      </c>
      <c r="N32" s="22">
        <f t="shared" si="1"/>
        <v>4</v>
      </c>
      <c r="O32" s="22">
        <f t="shared" si="2"/>
        <v>4</v>
      </c>
    </row>
    <row r="33" spans="1:15" ht="16" x14ac:dyDescent="0.2">
      <c r="A33" s="22" t="s">
        <v>360</v>
      </c>
      <c r="B33" s="31" t="s">
        <v>361</v>
      </c>
      <c r="C33" s="32" t="s">
        <v>299</v>
      </c>
      <c r="D33" s="45" t="s">
        <v>652</v>
      </c>
      <c r="E33" s="32" t="s">
        <v>299</v>
      </c>
      <c r="J33" s="32" t="s">
        <v>299</v>
      </c>
      <c r="K33" s="32" t="s">
        <v>299</v>
      </c>
      <c r="M33" s="22">
        <f t="shared" si="0"/>
        <v>4</v>
      </c>
      <c r="N33" s="22">
        <f t="shared" si="1"/>
        <v>1</v>
      </c>
      <c r="O33" s="22">
        <f t="shared" si="2"/>
        <v>5</v>
      </c>
    </row>
    <row r="34" spans="1:15" ht="16" x14ac:dyDescent="0.2">
      <c r="A34" s="22" t="s">
        <v>362</v>
      </c>
      <c r="B34" s="31" t="s">
        <v>363</v>
      </c>
      <c r="C34" s="32" t="s">
        <v>299</v>
      </c>
      <c r="D34" s="32" t="s">
        <v>299</v>
      </c>
      <c r="E34" s="45" t="s">
        <v>652</v>
      </c>
      <c r="F34" s="32" t="s">
        <v>299</v>
      </c>
      <c r="G34" s="45" t="s">
        <v>652</v>
      </c>
      <c r="K34" s="32" t="s">
        <v>299</v>
      </c>
      <c r="L34" s="32" t="s">
        <v>299</v>
      </c>
      <c r="M34" s="22">
        <f t="shared" si="0"/>
        <v>5</v>
      </c>
      <c r="N34" s="22">
        <f t="shared" si="1"/>
        <v>2</v>
      </c>
      <c r="O34" s="22">
        <f t="shared" si="2"/>
        <v>7</v>
      </c>
    </row>
    <row r="35" spans="1:15" ht="16" x14ac:dyDescent="0.2">
      <c r="A35" s="22" t="s">
        <v>364</v>
      </c>
      <c r="B35" s="31" t="s">
        <v>365</v>
      </c>
      <c r="E35" s="45" t="s">
        <v>652</v>
      </c>
      <c r="K35" s="32" t="s">
        <v>299</v>
      </c>
      <c r="M35" s="22">
        <f t="shared" si="0"/>
        <v>1</v>
      </c>
      <c r="N35" s="22">
        <f t="shared" si="1"/>
        <v>1</v>
      </c>
      <c r="O35" s="22">
        <f t="shared" si="2"/>
        <v>2</v>
      </c>
    </row>
    <row r="36" spans="1:15" ht="16" x14ac:dyDescent="0.2">
      <c r="A36" s="22" t="s">
        <v>366</v>
      </c>
      <c r="B36" s="31" t="s">
        <v>509</v>
      </c>
      <c r="C36" s="45" t="s">
        <v>652</v>
      </c>
      <c r="D36" s="45" t="s">
        <v>652</v>
      </c>
      <c r="E36" s="45" t="s">
        <v>652</v>
      </c>
      <c r="G36" s="45" t="s">
        <v>652</v>
      </c>
      <c r="J36" s="32" t="s">
        <v>299</v>
      </c>
      <c r="K36" s="45" t="s">
        <v>652</v>
      </c>
      <c r="L36" s="45" t="s">
        <v>652</v>
      </c>
      <c r="M36" s="22">
        <f t="shared" si="0"/>
        <v>1</v>
      </c>
      <c r="N36" s="22">
        <f t="shared" si="1"/>
        <v>6</v>
      </c>
      <c r="O36" s="22">
        <f t="shared" si="2"/>
        <v>7</v>
      </c>
    </row>
    <row r="37" spans="1:15" ht="16" x14ac:dyDescent="0.2">
      <c r="A37" s="22" t="s">
        <v>368</v>
      </c>
      <c r="B37" s="31" t="s">
        <v>369</v>
      </c>
      <c r="M37" s="22">
        <f t="shared" si="0"/>
        <v>0</v>
      </c>
      <c r="N37" s="22">
        <f t="shared" si="1"/>
        <v>0</v>
      </c>
      <c r="O37" s="22">
        <f t="shared" si="2"/>
        <v>0</v>
      </c>
    </row>
    <row r="38" spans="1:15" ht="16" x14ac:dyDescent="0.2">
      <c r="A38" s="22" t="s">
        <v>370</v>
      </c>
      <c r="B38" s="31" t="s">
        <v>371</v>
      </c>
      <c r="C38" s="45" t="s">
        <v>652</v>
      </c>
      <c r="D38" s="45" t="s">
        <v>652</v>
      </c>
      <c r="E38" s="45" t="s">
        <v>652</v>
      </c>
      <c r="F38" s="32" t="s">
        <v>299</v>
      </c>
      <c r="J38" s="32" t="s">
        <v>299</v>
      </c>
      <c r="K38" s="45" t="s">
        <v>652</v>
      </c>
      <c r="L38" s="45" t="s">
        <v>652</v>
      </c>
      <c r="M38" s="22">
        <f t="shared" si="0"/>
        <v>2</v>
      </c>
      <c r="N38" s="22">
        <f t="shared" si="1"/>
        <v>5</v>
      </c>
      <c r="O38" s="22">
        <f t="shared" si="2"/>
        <v>7</v>
      </c>
    </row>
    <row r="39" spans="1:15" ht="16" x14ac:dyDescent="0.2">
      <c r="A39" s="22" t="s">
        <v>372</v>
      </c>
      <c r="B39" s="31" t="s">
        <v>37</v>
      </c>
      <c r="C39" s="45" t="s">
        <v>652</v>
      </c>
      <c r="J39" s="45" t="s">
        <v>652</v>
      </c>
      <c r="M39" s="22">
        <f t="shared" si="0"/>
        <v>0</v>
      </c>
      <c r="N39" s="22">
        <f t="shared" si="1"/>
        <v>2</v>
      </c>
      <c r="O39" s="22">
        <f t="shared" si="2"/>
        <v>2</v>
      </c>
    </row>
    <row r="40" spans="1:15" ht="16" x14ac:dyDescent="0.2">
      <c r="A40" s="22" t="s">
        <v>373</v>
      </c>
      <c r="B40" s="31" t="s">
        <v>510</v>
      </c>
      <c r="C40" s="45" t="s">
        <v>652</v>
      </c>
      <c r="D40" s="45" t="s">
        <v>652</v>
      </c>
      <c r="E40" s="45" t="s">
        <v>652</v>
      </c>
      <c r="F40" s="45" t="s">
        <v>652</v>
      </c>
      <c r="G40" s="45" t="s">
        <v>652</v>
      </c>
      <c r="H40" s="45" t="s">
        <v>652</v>
      </c>
      <c r="J40" s="45" t="s">
        <v>652</v>
      </c>
      <c r="K40" s="45" t="s">
        <v>652</v>
      </c>
      <c r="M40" s="22">
        <f t="shared" si="0"/>
        <v>0</v>
      </c>
      <c r="N40" s="22">
        <f t="shared" si="1"/>
        <v>8</v>
      </c>
      <c r="O40" s="22">
        <f t="shared" si="2"/>
        <v>8</v>
      </c>
    </row>
    <row r="41" spans="1:15" ht="16" x14ac:dyDescent="0.2">
      <c r="A41" s="22" t="s">
        <v>375</v>
      </c>
      <c r="B41" s="31" t="s">
        <v>376</v>
      </c>
      <c r="C41" s="45" t="s">
        <v>652</v>
      </c>
      <c r="D41" s="45" t="s">
        <v>652</v>
      </c>
      <c r="E41" s="45" t="s">
        <v>652</v>
      </c>
      <c r="H41" s="45" t="s">
        <v>652</v>
      </c>
      <c r="J41" s="45" t="s">
        <v>652</v>
      </c>
      <c r="K41" s="45" t="s">
        <v>652</v>
      </c>
      <c r="L41" s="45" t="s">
        <v>652</v>
      </c>
      <c r="M41" s="22">
        <f t="shared" si="0"/>
        <v>0</v>
      </c>
      <c r="N41" s="22">
        <f t="shared" si="1"/>
        <v>7</v>
      </c>
      <c r="O41" s="22">
        <f t="shared" si="2"/>
        <v>7</v>
      </c>
    </row>
    <row r="42" spans="1:15" ht="16" x14ac:dyDescent="0.2">
      <c r="A42" s="22" t="s">
        <v>377</v>
      </c>
      <c r="B42" s="31" t="s">
        <v>378</v>
      </c>
      <c r="C42" s="32" t="s">
        <v>299</v>
      </c>
      <c r="D42" s="45" t="s">
        <v>652</v>
      </c>
      <c r="E42" s="45" t="s">
        <v>652</v>
      </c>
      <c r="K42" s="32" t="s">
        <v>299</v>
      </c>
      <c r="M42" s="22">
        <f t="shared" si="0"/>
        <v>2</v>
      </c>
      <c r="N42" s="22">
        <f t="shared" si="1"/>
        <v>2</v>
      </c>
      <c r="O42" s="22">
        <f t="shared" si="2"/>
        <v>4</v>
      </c>
    </row>
    <row r="43" spans="1:15" ht="16" x14ac:dyDescent="0.2">
      <c r="A43" s="22" t="s">
        <v>379</v>
      </c>
      <c r="B43" s="31" t="s">
        <v>511</v>
      </c>
      <c r="D43" s="45" t="s">
        <v>652</v>
      </c>
      <c r="E43" s="45" t="s">
        <v>652</v>
      </c>
      <c r="K43" s="45" t="s">
        <v>652</v>
      </c>
      <c r="M43" s="22">
        <f t="shared" si="0"/>
        <v>0</v>
      </c>
      <c r="N43" s="22">
        <f t="shared" si="1"/>
        <v>3</v>
      </c>
      <c r="O43" s="22">
        <f t="shared" si="2"/>
        <v>3</v>
      </c>
    </row>
    <row r="44" spans="1:15" ht="16" x14ac:dyDescent="0.2">
      <c r="A44" s="22" t="s">
        <v>381</v>
      </c>
      <c r="B44" s="31" t="s">
        <v>382</v>
      </c>
      <c r="C44" s="32" t="s">
        <v>299</v>
      </c>
      <c r="D44" s="45" t="s">
        <v>652</v>
      </c>
      <c r="E44" s="45" t="s">
        <v>652</v>
      </c>
      <c r="H44" s="45" t="s">
        <v>652</v>
      </c>
      <c r="J44" s="32" t="s">
        <v>299</v>
      </c>
      <c r="K44" s="32" t="s">
        <v>299</v>
      </c>
      <c r="L44" s="32" t="s">
        <v>299</v>
      </c>
      <c r="M44" s="22">
        <f t="shared" si="0"/>
        <v>4</v>
      </c>
      <c r="N44" s="22">
        <f t="shared" si="1"/>
        <v>3</v>
      </c>
      <c r="O44" s="22">
        <f t="shared" si="2"/>
        <v>7</v>
      </c>
    </row>
    <row r="45" spans="1:15" ht="16" x14ac:dyDescent="0.2">
      <c r="A45" s="22" t="s">
        <v>383</v>
      </c>
      <c r="B45" s="31" t="s">
        <v>384</v>
      </c>
      <c r="C45" s="32" t="s">
        <v>299</v>
      </c>
      <c r="D45" s="32" t="s">
        <v>299</v>
      </c>
      <c r="E45" s="32" t="s">
        <v>299</v>
      </c>
      <c r="K45" s="32" t="s">
        <v>299</v>
      </c>
      <c r="M45" s="22">
        <f t="shared" si="0"/>
        <v>4</v>
      </c>
      <c r="N45" s="22">
        <f t="shared" si="1"/>
        <v>0</v>
      </c>
      <c r="O45" s="22">
        <f t="shared" si="2"/>
        <v>4</v>
      </c>
    </row>
    <row r="46" spans="1:15" ht="16" x14ac:dyDescent="0.2">
      <c r="A46" s="22" t="s">
        <v>385</v>
      </c>
      <c r="B46" s="31" t="s">
        <v>386</v>
      </c>
      <c r="C46" s="32" t="s">
        <v>299</v>
      </c>
      <c r="D46" s="32" t="s">
        <v>299</v>
      </c>
      <c r="E46" s="32" t="s">
        <v>299</v>
      </c>
      <c r="J46" s="32" t="s">
        <v>299</v>
      </c>
      <c r="K46" s="32" t="s">
        <v>299</v>
      </c>
      <c r="M46" s="22">
        <f t="shared" si="0"/>
        <v>5</v>
      </c>
      <c r="N46" s="22">
        <f t="shared" si="1"/>
        <v>0</v>
      </c>
      <c r="O46" s="22">
        <f t="shared" si="2"/>
        <v>5</v>
      </c>
    </row>
    <row r="47" spans="1:15" ht="16" x14ac:dyDescent="0.2">
      <c r="A47" s="22" t="s">
        <v>387</v>
      </c>
      <c r="B47" s="31" t="s">
        <v>388</v>
      </c>
      <c r="C47" s="45" t="s">
        <v>652</v>
      </c>
      <c r="D47" s="45" t="s">
        <v>652</v>
      </c>
      <c r="E47" s="45" t="s">
        <v>652</v>
      </c>
      <c r="K47" s="45" t="s">
        <v>652</v>
      </c>
      <c r="M47" s="22">
        <f t="shared" si="0"/>
        <v>0</v>
      </c>
      <c r="N47" s="22">
        <f t="shared" si="1"/>
        <v>4</v>
      </c>
      <c r="O47" s="22">
        <f t="shared" si="2"/>
        <v>4</v>
      </c>
    </row>
    <row r="48" spans="1:15" ht="16" x14ac:dyDescent="0.2">
      <c r="A48" s="22" t="s">
        <v>389</v>
      </c>
      <c r="B48" s="31" t="s">
        <v>390</v>
      </c>
      <c r="C48" s="45" t="s">
        <v>652</v>
      </c>
      <c r="D48" s="45" t="s">
        <v>652</v>
      </c>
      <c r="E48" s="45" t="s">
        <v>652</v>
      </c>
      <c r="J48" s="32" t="s">
        <v>299</v>
      </c>
      <c r="K48" s="45" t="s">
        <v>652</v>
      </c>
      <c r="M48" s="22">
        <f t="shared" si="0"/>
        <v>1</v>
      </c>
      <c r="N48" s="22">
        <f t="shared" si="1"/>
        <v>4</v>
      </c>
      <c r="O48" s="22">
        <f t="shared" si="2"/>
        <v>5</v>
      </c>
    </row>
    <row r="49" spans="1:15" ht="16" x14ac:dyDescent="0.2">
      <c r="A49" s="22" t="s">
        <v>391</v>
      </c>
      <c r="B49" s="31" t="s">
        <v>392</v>
      </c>
      <c r="C49" s="32" t="s">
        <v>299</v>
      </c>
      <c r="D49" s="32" t="s">
        <v>299</v>
      </c>
      <c r="E49" s="45" t="s">
        <v>652</v>
      </c>
      <c r="J49" s="32" t="s">
        <v>299</v>
      </c>
      <c r="K49" s="32" t="s">
        <v>299</v>
      </c>
      <c r="M49" s="22">
        <f t="shared" si="0"/>
        <v>4</v>
      </c>
      <c r="N49" s="22">
        <f t="shared" si="1"/>
        <v>1</v>
      </c>
      <c r="O49" s="22">
        <f t="shared" si="2"/>
        <v>5</v>
      </c>
    </row>
    <row r="50" spans="1:15" ht="16" x14ac:dyDescent="0.2">
      <c r="A50" s="22" t="s">
        <v>393</v>
      </c>
      <c r="B50" s="31" t="s">
        <v>394</v>
      </c>
      <c r="C50" s="32" t="s">
        <v>299</v>
      </c>
      <c r="F50" s="32" t="s">
        <v>299</v>
      </c>
      <c r="K50" s="32" t="s">
        <v>299</v>
      </c>
      <c r="M50" s="22">
        <f t="shared" si="0"/>
        <v>3</v>
      </c>
      <c r="N50" s="22">
        <f t="shared" si="1"/>
        <v>0</v>
      </c>
      <c r="O50" s="22">
        <f t="shared" si="2"/>
        <v>3</v>
      </c>
    </row>
    <row r="51" spans="1:15" ht="16" x14ac:dyDescent="0.2">
      <c r="A51" s="22" t="s">
        <v>395</v>
      </c>
      <c r="B51" s="31" t="s">
        <v>303</v>
      </c>
      <c r="C51" s="45" t="s">
        <v>652</v>
      </c>
      <c r="D51" s="45" t="s">
        <v>652</v>
      </c>
      <c r="E51" s="45" t="s">
        <v>652</v>
      </c>
      <c r="F51" s="45" t="s">
        <v>652</v>
      </c>
      <c r="H51" s="45" t="s">
        <v>652</v>
      </c>
      <c r="K51" s="45" t="s">
        <v>652</v>
      </c>
      <c r="L51" s="45" t="s">
        <v>652</v>
      </c>
      <c r="M51" s="22">
        <f t="shared" si="0"/>
        <v>0</v>
      </c>
      <c r="N51" s="22">
        <f t="shared" si="1"/>
        <v>7</v>
      </c>
      <c r="O51" s="22">
        <f t="shared" si="2"/>
        <v>7</v>
      </c>
    </row>
    <row r="52" spans="1:15" ht="16" x14ac:dyDescent="0.2">
      <c r="A52" s="22" t="s">
        <v>396</v>
      </c>
      <c r="B52" s="31" t="s">
        <v>397</v>
      </c>
      <c r="D52" s="45" t="s">
        <v>652</v>
      </c>
      <c r="E52" s="45" t="s">
        <v>652</v>
      </c>
      <c r="K52" s="32" t="s">
        <v>299</v>
      </c>
      <c r="M52" s="22">
        <f t="shared" si="0"/>
        <v>1</v>
      </c>
      <c r="N52" s="22">
        <f t="shared" si="1"/>
        <v>2</v>
      </c>
      <c r="O52" s="22">
        <f t="shared" si="2"/>
        <v>3</v>
      </c>
    </row>
    <row r="53" spans="1:15" ht="16" x14ac:dyDescent="0.2">
      <c r="A53" s="22" t="s">
        <v>398</v>
      </c>
      <c r="B53" s="31" t="s">
        <v>399</v>
      </c>
      <c r="C53" s="45" t="s">
        <v>652</v>
      </c>
      <c r="M53" s="22">
        <f t="shared" si="0"/>
        <v>0</v>
      </c>
      <c r="N53" s="22">
        <f t="shared" si="1"/>
        <v>1</v>
      </c>
      <c r="O53" s="22">
        <f t="shared" si="2"/>
        <v>1</v>
      </c>
    </row>
    <row r="54" spans="1:15" ht="16" x14ac:dyDescent="0.2">
      <c r="A54" s="22" t="s">
        <v>400</v>
      </c>
      <c r="B54" s="31" t="s">
        <v>401</v>
      </c>
      <c r="C54" s="45" t="s">
        <v>652</v>
      </c>
      <c r="D54" s="45" t="s">
        <v>652</v>
      </c>
      <c r="E54" s="45" t="s">
        <v>652</v>
      </c>
      <c r="K54" s="45" t="s">
        <v>652</v>
      </c>
      <c r="M54" s="22">
        <f t="shared" si="0"/>
        <v>0</v>
      </c>
      <c r="N54" s="22">
        <f t="shared" si="1"/>
        <v>4</v>
      </c>
      <c r="O54" s="22">
        <f t="shared" si="2"/>
        <v>4</v>
      </c>
    </row>
    <row r="55" spans="1:15" ht="16" x14ac:dyDescent="0.2">
      <c r="A55" s="22" t="s">
        <v>402</v>
      </c>
      <c r="B55" s="31" t="s">
        <v>403</v>
      </c>
      <c r="E55" s="32" t="s">
        <v>299</v>
      </c>
      <c r="K55" s="32" t="s">
        <v>299</v>
      </c>
      <c r="L55" s="32" t="s">
        <v>299</v>
      </c>
      <c r="M55" s="22">
        <f t="shared" si="0"/>
        <v>3</v>
      </c>
      <c r="N55" s="22">
        <f t="shared" si="1"/>
        <v>0</v>
      </c>
      <c r="O55" s="22">
        <f t="shared" si="2"/>
        <v>3</v>
      </c>
    </row>
    <row r="56" spans="1:15" ht="16" x14ac:dyDescent="0.2">
      <c r="A56" s="22" t="s">
        <v>404</v>
      </c>
      <c r="B56" s="31" t="s">
        <v>405</v>
      </c>
      <c r="C56" s="32" t="s">
        <v>299</v>
      </c>
      <c r="D56" s="45" t="s">
        <v>652</v>
      </c>
      <c r="E56" s="45" t="s">
        <v>652</v>
      </c>
      <c r="F56" s="32" t="s">
        <v>299</v>
      </c>
      <c r="G56" s="45" t="s">
        <v>652</v>
      </c>
      <c r="H56" s="45" t="s">
        <v>652</v>
      </c>
      <c r="J56" s="32" t="s">
        <v>299</v>
      </c>
      <c r="K56" s="32" t="s">
        <v>299</v>
      </c>
      <c r="M56" s="22">
        <f t="shared" si="0"/>
        <v>4</v>
      </c>
      <c r="N56" s="22">
        <f t="shared" si="1"/>
        <v>4</v>
      </c>
      <c r="O56" s="22">
        <f t="shared" si="2"/>
        <v>8</v>
      </c>
    </row>
    <row r="57" spans="1:15" ht="16" x14ac:dyDescent="0.2">
      <c r="A57" s="22" t="s">
        <v>406</v>
      </c>
      <c r="B57" s="31" t="s">
        <v>656</v>
      </c>
      <c r="D57" s="45" t="s">
        <v>652</v>
      </c>
      <c r="E57" s="45" t="s">
        <v>652</v>
      </c>
      <c r="K57" s="45" t="s">
        <v>652</v>
      </c>
      <c r="M57" s="22">
        <f t="shared" si="0"/>
        <v>0</v>
      </c>
      <c r="N57" s="22">
        <f t="shared" si="1"/>
        <v>3</v>
      </c>
      <c r="O57" s="22">
        <f t="shared" si="2"/>
        <v>3</v>
      </c>
    </row>
    <row r="58" spans="1:15" ht="16" x14ac:dyDescent="0.2">
      <c r="A58" s="22" t="s">
        <v>407</v>
      </c>
      <c r="B58" s="31" t="s">
        <v>408</v>
      </c>
      <c r="M58" s="22">
        <f t="shared" si="0"/>
        <v>0</v>
      </c>
      <c r="N58" s="22">
        <f t="shared" si="1"/>
        <v>0</v>
      </c>
      <c r="O58" s="22">
        <f t="shared" si="2"/>
        <v>0</v>
      </c>
    </row>
    <row r="59" spans="1:15" ht="16" x14ac:dyDescent="0.2">
      <c r="A59" s="22" t="s">
        <v>409</v>
      </c>
      <c r="B59" s="31" t="s">
        <v>512</v>
      </c>
      <c r="C59" s="45" t="s">
        <v>652</v>
      </c>
      <c r="E59" s="45" t="s">
        <v>652</v>
      </c>
      <c r="J59" s="32" t="s">
        <v>299</v>
      </c>
      <c r="M59" s="22">
        <f t="shared" si="0"/>
        <v>1</v>
      </c>
      <c r="N59" s="22">
        <f t="shared" si="1"/>
        <v>2</v>
      </c>
      <c r="O59" s="22">
        <f t="shared" si="2"/>
        <v>3</v>
      </c>
    </row>
    <row r="60" spans="1:15" ht="16" x14ac:dyDescent="0.2">
      <c r="A60" s="22" t="s">
        <v>411</v>
      </c>
      <c r="B60" s="31" t="s">
        <v>513</v>
      </c>
      <c r="C60" s="32" t="s">
        <v>299</v>
      </c>
      <c r="K60" s="32" t="s">
        <v>299</v>
      </c>
      <c r="M60" s="22">
        <f t="shared" si="0"/>
        <v>2</v>
      </c>
      <c r="N60" s="22">
        <f t="shared" si="1"/>
        <v>0</v>
      </c>
      <c r="O60" s="22">
        <f t="shared" si="2"/>
        <v>2</v>
      </c>
    </row>
    <row r="61" spans="1:15" ht="16" x14ac:dyDescent="0.2">
      <c r="A61" s="22" t="s">
        <v>413</v>
      </c>
      <c r="B61" s="31" t="s">
        <v>414</v>
      </c>
      <c r="C61" s="45" t="s">
        <v>652</v>
      </c>
      <c r="D61" s="45" t="s">
        <v>652</v>
      </c>
      <c r="E61" s="45" t="s">
        <v>652</v>
      </c>
      <c r="K61" s="45" t="s">
        <v>652</v>
      </c>
      <c r="M61" s="22">
        <f t="shared" si="0"/>
        <v>0</v>
      </c>
      <c r="N61" s="22">
        <f t="shared" si="1"/>
        <v>4</v>
      </c>
      <c r="O61" s="22">
        <f t="shared" si="2"/>
        <v>4</v>
      </c>
    </row>
    <row r="62" spans="1:15" ht="16" x14ac:dyDescent="0.2">
      <c r="A62" s="22" t="s">
        <v>415</v>
      </c>
      <c r="B62" s="31" t="s">
        <v>514</v>
      </c>
      <c r="C62" s="45" t="s">
        <v>652</v>
      </c>
      <c r="D62" s="45" t="s">
        <v>652</v>
      </c>
      <c r="E62" s="45" t="s">
        <v>652</v>
      </c>
      <c r="K62" s="45" t="s">
        <v>652</v>
      </c>
      <c r="M62" s="22">
        <f t="shared" si="0"/>
        <v>0</v>
      </c>
      <c r="N62" s="22">
        <f t="shared" si="1"/>
        <v>4</v>
      </c>
      <c r="O62" s="22">
        <f t="shared" si="2"/>
        <v>4</v>
      </c>
    </row>
    <row r="63" spans="1:15" ht="16" x14ac:dyDescent="0.2">
      <c r="A63" s="22" t="s">
        <v>416</v>
      </c>
      <c r="B63" s="31" t="s">
        <v>417</v>
      </c>
      <c r="M63" s="22">
        <f t="shared" si="0"/>
        <v>0</v>
      </c>
      <c r="N63" s="22">
        <f t="shared" si="1"/>
        <v>0</v>
      </c>
      <c r="O63" s="22">
        <f t="shared" si="2"/>
        <v>0</v>
      </c>
    </row>
    <row r="64" spans="1:15" ht="16" x14ac:dyDescent="0.2">
      <c r="A64" s="22" t="s">
        <v>418</v>
      </c>
      <c r="B64" s="31" t="s">
        <v>515</v>
      </c>
      <c r="E64" s="45" t="s">
        <v>652</v>
      </c>
      <c r="M64" s="22">
        <f t="shared" si="0"/>
        <v>0</v>
      </c>
      <c r="N64" s="22">
        <f t="shared" si="1"/>
        <v>1</v>
      </c>
      <c r="O64" s="22">
        <f t="shared" si="2"/>
        <v>1</v>
      </c>
    </row>
    <row r="65" spans="1:15" ht="16" x14ac:dyDescent="0.2">
      <c r="A65" s="22" t="s">
        <v>420</v>
      </c>
      <c r="B65" s="31" t="s">
        <v>516</v>
      </c>
      <c r="C65" s="32" t="s">
        <v>299</v>
      </c>
      <c r="K65" s="32" t="s">
        <v>299</v>
      </c>
      <c r="M65" s="22">
        <f t="shared" si="0"/>
        <v>2</v>
      </c>
      <c r="N65" s="22">
        <f t="shared" si="1"/>
        <v>0</v>
      </c>
      <c r="O65" s="22">
        <f t="shared" si="2"/>
        <v>2</v>
      </c>
    </row>
    <row r="66" spans="1:15" ht="16" x14ac:dyDescent="0.2">
      <c r="A66" s="22" t="s">
        <v>422</v>
      </c>
      <c r="B66" s="31" t="s">
        <v>423</v>
      </c>
      <c r="C66" s="45" t="s">
        <v>652</v>
      </c>
      <c r="D66" s="45" t="s">
        <v>652</v>
      </c>
      <c r="E66" s="45" t="s">
        <v>652</v>
      </c>
      <c r="J66" s="45" t="s">
        <v>652</v>
      </c>
      <c r="K66" s="45" t="s">
        <v>652</v>
      </c>
      <c r="M66" s="22">
        <f t="shared" ref="M66:M101" si="3">COUNTIF(C66:L66, "FP")</f>
        <v>0</v>
      </c>
      <c r="N66" s="22">
        <f t="shared" ref="N66:N101" si="4">COUNTIF(C66:L66, "XX")</f>
        <v>5</v>
      </c>
      <c r="O66" s="22">
        <f t="shared" si="2"/>
        <v>5</v>
      </c>
    </row>
    <row r="67" spans="1:15" ht="16" x14ac:dyDescent="0.2">
      <c r="A67" s="22" t="s">
        <v>424</v>
      </c>
      <c r="B67" s="31" t="s">
        <v>425</v>
      </c>
      <c r="C67" s="45" t="s">
        <v>652</v>
      </c>
      <c r="D67" s="45" t="s">
        <v>652</v>
      </c>
      <c r="E67" s="45" t="s">
        <v>652</v>
      </c>
      <c r="K67" s="45" t="s">
        <v>652</v>
      </c>
      <c r="L67" s="45" t="s">
        <v>652</v>
      </c>
      <c r="M67" s="22">
        <f t="shared" si="3"/>
        <v>0</v>
      </c>
      <c r="N67" s="22">
        <f t="shared" si="4"/>
        <v>5</v>
      </c>
      <c r="O67" s="22">
        <f t="shared" ref="O67:O102" si="5">M67+N67</f>
        <v>5</v>
      </c>
    </row>
    <row r="68" spans="1:15" ht="16" x14ac:dyDescent="0.2">
      <c r="A68" s="22" t="s">
        <v>426</v>
      </c>
      <c r="B68" s="31" t="s">
        <v>303</v>
      </c>
      <c r="C68" s="32" t="s">
        <v>299</v>
      </c>
      <c r="D68" s="32" t="s">
        <v>299</v>
      </c>
      <c r="E68" s="45" t="s">
        <v>652</v>
      </c>
      <c r="F68" s="32" t="s">
        <v>299</v>
      </c>
      <c r="H68" s="45" t="s">
        <v>652</v>
      </c>
      <c r="K68" s="32" t="s">
        <v>299</v>
      </c>
      <c r="M68" s="22">
        <f t="shared" si="3"/>
        <v>4</v>
      </c>
      <c r="N68" s="22">
        <f t="shared" si="4"/>
        <v>2</v>
      </c>
      <c r="O68" s="22">
        <f t="shared" si="5"/>
        <v>6</v>
      </c>
    </row>
    <row r="69" spans="1:15" ht="16" x14ac:dyDescent="0.2">
      <c r="A69" s="22" t="s">
        <v>427</v>
      </c>
      <c r="B69" s="31" t="s">
        <v>428</v>
      </c>
      <c r="C69" s="32" t="s">
        <v>299</v>
      </c>
      <c r="D69" s="45" t="s">
        <v>652</v>
      </c>
      <c r="E69" s="45" t="s">
        <v>652</v>
      </c>
      <c r="F69" s="32" t="s">
        <v>299</v>
      </c>
      <c r="J69" s="32" t="s">
        <v>299</v>
      </c>
      <c r="K69" s="32" t="s">
        <v>299</v>
      </c>
      <c r="L69" s="32" t="s">
        <v>299</v>
      </c>
      <c r="M69" s="22">
        <f t="shared" si="3"/>
        <v>5</v>
      </c>
      <c r="N69" s="22">
        <f t="shared" si="4"/>
        <v>2</v>
      </c>
      <c r="O69" s="22">
        <f t="shared" si="5"/>
        <v>7</v>
      </c>
    </row>
    <row r="70" spans="1:15" ht="16" x14ac:dyDescent="0.2">
      <c r="A70" s="22" t="s">
        <v>429</v>
      </c>
      <c r="B70" s="31" t="s">
        <v>517</v>
      </c>
      <c r="M70" s="22">
        <f t="shared" si="3"/>
        <v>0</v>
      </c>
      <c r="N70" s="22">
        <f t="shared" si="4"/>
        <v>0</v>
      </c>
      <c r="O70" s="22">
        <f t="shared" si="5"/>
        <v>0</v>
      </c>
    </row>
    <row r="71" spans="1:15" ht="16" x14ac:dyDescent="0.2">
      <c r="A71" s="22" t="s">
        <v>431</v>
      </c>
      <c r="B71" s="31" t="s">
        <v>432</v>
      </c>
      <c r="C71" s="32" t="s">
        <v>299</v>
      </c>
      <c r="D71" s="45" t="s">
        <v>652</v>
      </c>
      <c r="E71" s="45" t="s">
        <v>652</v>
      </c>
      <c r="F71" s="45" t="s">
        <v>652</v>
      </c>
      <c r="K71" s="32" t="s">
        <v>299</v>
      </c>
      <c r="L71" s="32" t="s">
        <v>299</v>
      </c>
      <c r="M71" s="22">
        <f t="shared" si="3"/>
        <v>3</v>
      </c>
      <c r="N71" s="22">
        <f t="shared" si="4"/>
        <v>3</v>
      </c>
      <c r="O71" s="22">
        <f t="shared" si="5"/>
        <v>6</v>
      </c>
    </row>
    <row r="72" spans="1:15" ht="16" x14ac:dyDescent="0.2">
      <c r="A72" s="22" t="s">
        <v>433</v>
      </c>
      <c r="B72" s="31" t="s">
        <v>434</v>
      </c>
      <c r="C72" s="32" t="s">
        <v>299</v>
      </c>
      <c r="D72" s="45" t="s">
        <v>652</v>
      </c>
      <c r="E72" s="45" t="s">
        <v>652</v>
      </c>
      <c r="F72" s="32" t="s">
        <v>299</v>
      </c>
      <c r="J72" s="32" t="s">
        <v>299</v>
      </c>
      <c r="K72" s="32" t="s">
        <v>299</v>
      </c>
      <c r="M72" s="22">
        <f t="shared" si="3"/>
        <v>4</v>
      </c>
      <c r="N72" s="22">
        <f t="shared" si="4"/>
        <v>2</v>
      </c>
      <c r="O72" s="22">
        <f t="shared" si="5"/>
        <v>6</v>
      </c>
    </row>
    <row r="73" spans="1:15" ht="16" x14ac:dyDescent="0.2">
      <c r="A73" s="22" t="s">
        <v>435</v>
      </c>
      <c r="B73" s="31" t="s">
        <v>436</v>
      </c>
      <c r="C73" s="45" t="s">
        <v>652</v>
      </c>
      <c r="K73" s="45" t="s">
        <v>652</v>
      </c>
      <c r="M73" s="22">
        <f t="shared" si="3"/>
        <v>0</v>
      </c>
      <c r="N73" s="22">
        <f t="shared" si="4"/>
        <v>2</v>
      </c>
      <c r="O73" s="22">
        <f t="shared" si="5"/>
        <v>2</v>
      </c>
    </row>
    <row r="74" spans="1:15" ht="16" x14ac:dyDescent="0.2">
      <c r="A74" s="22" t="s">
        <v>437</v>
      </c>
      <c r="B74" s="31" t="s">
        <v>438</v>
      </c>
      <c r="C74" s="45" t="s">
        <v>652</v>
      </c>
      <c r="D74" s="45" t="s">
        <v>652</v>
      </c>
      <c r="E74" s="45" t="s">
        <v>652</v>
      </c>
      <c r="K74" s="45" t="s">
        <v>652</v>
      </c>
      <c r="M74" s="22">
        <f t="shared" si="3"/>
        <v>0</v>
      </c>
      <c r="N74" s="22">
        <f t="shared" si="4"/>
        <v>4</v>
      </c>
      <c r="O74" s="22">
        <f t="shared" si="5"/>
        <v>4</v>
      </c>
    </row>
    <row r="75" spans="1:15" ht="16" x14ac:dyDescent="0.2">
      <c r="A75" s="22" t="s">
        <v>439</v>
      </c>
      <c r="B75" s="31" t="s">
        <v>440</v>
      </c>
      <c r="C75" s="45" t="s">
        <v>652</v>
      </c>
      <c r="D75" s="45" t="s">
        <v>652</v>
      </c>
      <c r="E75" s="45" t="s">
        <v>652</v>
      </c>
      <c r="K75" s="45" t="s">
        <v>652</v>
      </c>
      <c r="M75" s="22">
        <f t="shared" si="3"/>
        <v>0</v>
      </c>
      <c r="N75" s="22">
        <f t="shared" si="4"/>
        <v>4</v>
      </c>
      <c r="O75" s="22">
        <f t="shared" si="5"/>
        <v>4</v>
      </c>
    </row>
    <row r="76" spans="1:15" ht="16" x14ac:dyDescent="0.2">
      <c r="A76" s="22" t="s">
        <v>441</v>
      </c>
      <c r="B76" s="31" t="s">
        <v>376</v>
      </c>
      <c r="M76" s="22">
        <f t="shared" si="3"/>
        <v>0</v>
      </c>
      <c r="N76" s="22">
        <f t="shared" si="4"/>
        <v>0</v>
      </c>
      <c r="O76" s="22">
        <f t="shared" si="5"/>
        <v>0</v>
      </c>
    </row>
    <row r="77" spans="1:15" ht="16" x14ac:dyDescent="0.2">
      <c r="A77" s="22" t="s">
        <v>442</v>
      </c>
      <c r="B77" s="31" t="s">
        <v>434</v>
      </c>
      <c r="M77" s="22">
        <f t="shared" si="3"/>
        <v>0</v>
      </c>
      <c r="N77" s="22">
        <f t="shared" si="4"/>
        <v>0</v>
      </c>
      <c r="O77" s="22">
        <f t="shared" si="5"/>
        <v>0</v>
      </c>
    </row>
    <row r="78" spans="1:15" ht="16" x14ac:dyDescent="0.2">
      <c r="A78" s="22" t="s">
        <v>444</v>
      </c>
      <c r="B78" s="31" t="s">
        <v>445</v>
      </c>
      <c r="D78" s="45" t="s">
        <v>652</v>
      </c>
      <c r="E78" s="45" t="s">
        <v>652</v>
      </c>
      <c r="K78" s="32" t="s">
        <v>299</v>
      </c>
      <c r="M78" s="22">
        <f t="shared" si="3"/>
        <v>1</v>
      </c>
      <c r="N78" s="22">
        <f t="shared" si="4"/>
        <v>2</v>
      </c>
      <c r="O78" s="22">
        <f t="shared" si="5"/>
        <v>3</v>
      </c>
    </row>
    <row r="79" spans="1:15" ht="16" x14ac:dyDescent="0.2">
      <c r="A79" s="22" t="s">
        <v>446</v>
      </c>
      <c r="B79" s="31" t="s">
        <v>447</v>
      </c>
      <c r="M79" s="22">
        <f t="shared" si="3"/>
        <v>0</v>
      </c>
      <c r="N79" s="22">
        <f t="shared" si="4"/>
        <v>0</v>
      </c>
      <c r="O79" s="22">
        <f t="shared" si="5"/>
        <v>0</v>
      </c>
    </row>
    <row r="80" spans="1:15" ht="16" x14ac:dyDescent="0.2">
      <c r="A80" s="22" t="s">
        <v>448</v>
      </c>
      <c r="B80" s="31" t="s">
        <v>449</v>
      </c>
      <c r="M80" s="22">
        <f t="shared" si="3"/>
        <v>0</v>
      </c>
      <c r="N80" s="22">
        <f t="shared" si="4"/>
        <v>0</v>
      </c>
      <c r="O80" s="22">
        <f t="shared" si="5"/>
        <v>0</v>
      </c>
    </row>
    <row r="81" spans="1:15" ht="16" x14ac:dyDescent="0.2">
      <c r="A81" s="22" t="s">
        <v>450</v>
      </c>
      <c r="B81" s="31" t="s">
        <v>451</v>
      </c>
      <c r="M81" s="22">
        <f t="shared" si="3"/>
        <v>0</v>
      </c>
      <c r="N81" s="22">
        <f t="shared" si="4"/>
        <v>0</v>
      </c>
      <c r="O81" s="22">
        <f t="shared" si="5"/>
        <v>0</v>
      </c>
    </row>
    <row r="82" spans="1:15" ht="16" x14ac:dyDescent="0.2">
      <c r="A82" s="22" t="s">
        <v>452</v>
      </c>
      <c r="B82" s="31" t="s">
        <v>518</v>
      </c>
      <c r="C82" s="45" t="s">
        <v>652</v>
      </c>
      <c r="D82" s="45" t="s">
        <v>652</v>
      </c>
      <c r="E82" s="45" t="s">
        <v>652</v>
      </c>
      <c r="J82" s="45" t="s">
        <v>652</v>
      </c>
      <c r="K82" s="45" t="s">
        <v>652</v>
      </c>
      <c r="M82" s="22">
        <f t="shared" si="3"/>
        <v>0</v>
      </c>
      <c r="N82" s="22">
        <f t="shared" si="4"/>
        <v>5</v>
      </c>
      <c r="O82" s="22">
        <f t="shared" si="5"/>
        <v>5</v>
      </c>
    </row>
    <row r="83" spans="1:15" ht="16" x14ac:dyDescent="0.2">
      <c r="A83" s="22" t="s">
        <v>454</v>
      </c>
      <c r="B83" s="31" t="s">
        <v>455</v>
      </c>
      <c r="D83" s="32" t="s">
        <v>299</v>
      </c>
      <c r="E83" s="32" t="s">
        <v>299</v>
      </c>
      <c r="K83" s="32" t="s">
        <v>299</v>
      </c>
      <c r="M83" s="22">
        <f t="shared" si="3"/>
        <v>3</v>
      </c>
      <c r="N83" s="22">
        <f t="shared" si="4"/>
        <v>0</v>
      </c>
      <c r="O83" s="22">
        <f t="shared" si="5"/>
        <v>3</v>
      </c>
    </row>
    <row r="84" spans="1:15" ht="16" x14ac:dyDescent="0.2">
      <c r="A84" s="22" t="s">
        <v>456</v>
      </c>
      <c r="B84" s="31" t="s">
        <v>457</v>
      </c>
      <c r="C84" s="45" t="s">
        <v>652</v>
      </c>
      <c r="D84" s="45" t="s">
        <v>652</v>
      </c>
      <c r="E84" s="45" t="s">
        <v>652</v>
      </c>
      <c r="J84" s="45" t="s">
        <v>652</v>
      </c>
      <c r="K84" s="45" t="s">
        <v>652</v>
      </c>
      <c r="M84" s="22">
        <f t="shared" si="3"/>
        <v>0</v>
      </c>
      <c r="N84" s="22">
        <f t="shared" si="4"/>
        <v>5</v>
      </c>
      <c r="O84" s="22">
        <f t="shared" si="5"/>
        <v>5</v>
      </c>
    </row>
    <row r="85" spans="1:15" ht="16" x14ac:dyDescent="0.2">
      <c r="A85" s="22" t="s">
        <v>458</v>
      </c>
      <c r="B85" s="31" t="s">
        <v>459</v>
      </c>
      <c r="C85" s="32" t="s">
        <v>299</v>
      </c>
      <c r="K85" s="32" t="s">
        <v>299</v>
      </c>
      <c r="M85" s="22">
        <f t="shared" si="3"/>
        <v>2</v>
      </c>
      <c r="N85" s="22">
        <f t="shared" si="4"/>
        <v>0</v>
      </c>
      <c r="O85" s="22">
        <f t="shared" si="5"/>
        <v>2</v>
      </c>
    </row>
    <row r="86" spans="1:15" ht="16" x14ac:dyDescent="0.2">
      <c r="A86" s="22" t="s">
        <v>460</v>
      </c>
      <c r="B86" s="31" t="s">
        <v>461</v>
      </c>
      <c r="C86" s="45" t="s">
        <v>652</v>
      </c>
      <c r="D86" s="45" t="s">
        <v>652</v>
      </c>
      <c r="E86" s="45" t="s">
        <v>652</v>
      </c>
      <c r="K86" s="45" t="s">
        <v>652</v>
      </c>
      <c r="M86" s="22">
        <f t="shared" si="3"/>
        <v>0</v>
      </c>
      <c r="N86" s="22">
        <f t="shared" si="4"/>
        <v>4</v>
      </c>
      <c r="O86" s="22">
        <f t="shared" si="5"/>
        <v>4</v>
      </c>
    </row>
    <row r="87" spans="1:15" ht="16" x14ac:dyDescent="0.2">
      <c r="A87" s="22" t="s">
        <v>462</v>
      </c>
      <c r="B87" s="31" t="s">
        <v>463</v>
      </c>
      <c r="C87" s="32" t="s">
        <v>299</v>
      </c>
      <c r="D87" s="32" t="s">
        <v>299</v>
      </c>
      <c r="E87" s="45" t="s">
        <v>652</v>
      </c>
      <c r="H87" s="45" t="s">
        <v>652</v>
      </c>
      <c r="I87" s="45" t="s">
        <v>652</v>
      </c>
      <c r="J87" s="32" t="s">
        <v>299</v>
      </c>
      <c r="K87" s="32" t="s">
        <v>299</v>
      </c>
      <c r="M87" s="22">
        <f t="shared" si="3"/>
        <v>4</v>
      </c>
      <c r="N87" s="22">
        <f t="shared" si="4"/>
        <v>3</v>
      </c>
      <c r="O87" s="22">
        <f t="shared" si="5"/>
        <v>7</v>
      </c>
    </row>
    <row r="88" spans="1:15" ht="16" x14ac:dyDescent="0.2">
      <c r="A88" s="22" t="s">
        <v>464</v>
      </c>
      <c r="B88" s="31" t="s">
        <v>465</v>
      </c>
      <c r="C88" s="32" t="s">
        <v>299</v>
      </c>
      <c r="D88" s="45" t="s">
        <v>652</v>
      </c>
      <c r="E88" s="32" t="s">
        <v>299</v>
      </c>
      <c r="F88" s="45" t="s">
        <v>652</v>
      </c>
      <c r="K88" s="32" t="s">
        <v>299</v>
      </c>
      <c r="L88" s="45" t="s">
        <v>652</v>
      </c>
      <c r="M88" s="22">
        <f t="shared" si="3"/>
        <v>3</v>
      </c>
      <c r="N88" s="22">
        <f t="shared" si="4"/>
        <v>3</v>
      </c>
      <c r="O88" s="22">
        <f t="shared" si="5"/>
        <v>6</v>
      </c>
    </row>
    <row r="89" spans="1:15" ht="16" x14ac:dyDescent="0.2">
      <c r="A89" s="22" t="s">
        <v>466</v>
      </c>
      <c r="B89" s="31" t="s">
        <v>519</v>
      </c>
      <c r="D89" s="45" t="s">
        <v>652</v>
      </c>
      <c r="E89" s="45" t="s">
        <v>652</v>
      </c>
      <c r="K89" s="32" t="s">
        <v>299</v>
      </c>
      <c r="M89" s="22">
        <f t="shared" si="3"/>
        <v>1</v>
      </c>
      <c r="N89" s="22">
        <f t="shared" si="4"/>
        <v>2</v>
      </c>
      <c r="O89" s="22">
        <f t="shared" si="5"/>
        <v>3</v>
      </c>
    </row>
    <row r="90" spans="1:15" ht="16" x14ac:dyDescent="0.2">
      <c r="A90" s="22" t="s">
        <v>468</v>
      </c>
      <c r="B90" s="31" t="s">
        <v>315</v>
      </c>
      <c r="M90" s="22">
        <f t="shared" si="3"/>
        <v>0</v>
      </c>
      <c r="N90" s="22">
        <f t="shared" si="4"/>
        <v>0</v>
      </c>
      <c r="O90" s="22">
        <f t="shared" si="5"/>
        <v>0</v>
      </c>
    </row>
    <row r="91" spans="1:15" ht="16" x14ac:dyDescent="0.2">
      <c r="A91" s="22" t="s">
        <v>469</v>
      </c>
      <c r="B91" s="31" t="s">
        <v>470</v>
      </c>
      <c r="C91" s="32" t="s">
        <v>299</v>
      </c>
      <c r="D91" s="32" t="s">
        <v>299</v>
      </c>
      <c r="E91" s="45" t="s">
        <v>652</v>
      </c>
      <c r="F91" s="32" t="s">
        <v>299</v>
      </c>
      <c r="J91" s="32" t="s">
        <v>299</v>
      </c>
      <c r="K91" s="32" t="s">
        <v>299</v>
      </c>
      <c r="L91" s="32" t="s">
        <v>299</v>
      </c>
      <c r="M91" s="22">
        <f t="shared" si="3"/>
        <v>6</v>
      </c>
      <c r="N91" s="22">
        <f t="shared" si="4"/>
        <v>1</v>
      </c>
      <c r="O91" s="22">
        <f t="shared" si="5"/>
        <v>7</v>
      </c>
    </row>
    <row r="92" spans="1:15" ht="16" x14ac:dyDescent="0.2">
      <c r="A92" s="22" t="s">
        <v>471</v>
      </c>
      <c r="B92" s="31" t="s">
        <v>472</v>
      </c>
      <c r="C92" s="45" t="s">
        <v>652</v>
      </c>
      <c r="D92" s="45" t="s">
        <v>652</v>
      </c>
      <c r="E92" s="45" t="s">
        <v>652</v>
      </c>
      <c r="F92" s="32" t="s">
        <v>299</v>
      </c>
      <c r="G92" s="45" t="s">
        <v>652</v>
      </c>
      <c r="H92" s="45" t="s">
        <v>652</v>
      </c>
      <c r="K92" s="45" t="s">
        <v>652</v>
      </c>
      <c r="L92" s="45" t="s">
        <v>652</v>
      </c>
      <c r="M92" s="22">
        <f t="shared" si="3"/>
        <v>1</v>
      </c>
      <c r="N92" s="22">
        <f t="shared" si="4"/>
        <v>7</v>
      </c>
      <c r="O92" s="22">
        <f t="shared" si="5"/>
        <v>8</v>
      </c>
    </row>
    <row r="93" spans="1:15" ht="16" x14ac:dyDescent="0.2">
      <c r="A93" s="22" t="s">
        <v>473</v>
      </c>
      <c r="B93" s="31" t="s">
        <v>474</v>
      </c>
      <c r="C93" s="32" t="s">
        <v>299</v>
      </c>
      <c r="D93" s="32" t="s">
        <v>299</v>
      </c>
      <c r="E93" s="45" t="s">
        <v>652</v>
      </c>
      <c r="F93" s="32" t="s">
        <v>299</v>
      </c>
      <c r="J93" s="32" t="s">
        <v>299</v>
      </c>
      <c r="K93" s="32" t="s">
        <v>299</v>
      </c>
      <c r="L93" s="32" t="s">
        <v>299</v>
      </c>
      <c r="M93" s="22">
        <f t="shared" si="3"/>
        <v>6</v>
      </c>
      <c r="N93" s="22">
        <f t="shared" si="4"/>
        <v>1</v>
      </c>
      <c r="O93" s="22">
        <f t="shared" si="5"/>
        <v>7</v>
      </c>
    </row>
    <row r="94" spans="1:15" ht="16" x14ac:dyDescent="0.2">
      <c r="A94" s="22" t="s">
        <v>475</v>
      </c>
      <c r="B94" s="31" t="s">
        <v>520</v>
      </c>
      <c r="C94" s="45" t="s">
        <v>652</v>
      </c>
      <c r="D94" s="45" t="s">
        <v>652</v>
      </c>
      <c r="E94" s="45" t="s">
        <v>652</v>
      </c>
      <c r="J94" s="32" t="s">
        <v>299</v>
      </c>
      <c r="K94" s="45" t="s">
        <v>652</v>
      </c>
      <c r="M94" s="22">
        <f t="shared" si="3"/>
        <v>1</v>
      </c>
      <c r="N94" s="22">
        <f t="shared" si="4"/>
        <v>4</v>
      </c>
      <c r="O94" s="22">
        <f t="shared" si="5"/>
        <v>5</v>
      </c>
    </row>
    <row r="95" spans="1:15" ht="16" x14ac:dyDescent="0.2">
      <c r="A95" s="22" t="s">
        <v>477</v>
      </c>
      <c r="B95" s="31" t="s">
        <v>478</v>
      </c>
      <c r="M95" s="22">
        <f t="shared" si="3"/>
        <v>0</v>
      </c>
      <c r="N95" s="22">
        <f t="shared" si="4"/>
        <v>0</v>
      </c>
      <c r="O95" s="22">
        <f t="shared" si="5"/>
        <v>0</v>
      </c>
    </row>
    <row r="96" spans="1:15" ht="16" x14ac:dyDescent="0.2">
      <c r="A96" s="22" t="s">
        <v>479</v>
      </c>
      <c r="B96" s="31" t="s">
        <v>521</v>
      </c>
      <c r="M96" s="22">
        <f t="shared" si="3"/>
        <v>0</v>
      </c>
      <c r="N96" s="22">
        <f t="shared" si="4"/>
        <v>0</v>
      </c>
      <c r="O96" s="22">
        <f t="shared" si="5"/>
        <v>0</v>
      </c>
    </row>
    <row r="97" spans="1:15" ht="16" x14ac:dyDescent="0.2">
      <c r="A97" s="22" t="s">
        <v>481</v>
      </c>
      <c r="B97" s="31" t="s">
        <v>382</v>
      </c>
      <c r="D97" s="45" t="s">
        <v>652</v>
      </c>
      <c r="E97" s="45" t="s">
        <v>652</v>
      </c>
      <c r="K97" s="45" t="s">
        <v>652</v>
      </c>
      <c r="M97" s="22">
        <f t="shared" si="3"/>
        <v>0</v>
      </c>
      <c r="N97" s="22">
        <f t="shared" si="4"/>
        <v>3</v>
      </c>
      <c r="O97" s="22">
        <f t="shared" si="5"/>
        <v>3</v>
      </c>
    </row>
    <row r="98" spans="1:15" ht="16" x14ac:dyDescent="0.2">
      <c r="A98" s="22" t="s">
        <v>483</v>
      </c>
      <c r="B98" s="31" t="s">
        <v>484</v>
      </c>
      <c r="C98" s="32" t="s">
        <v>299</v>
      </c>
      <c r="D98" s="32" t="s">
        <v>299</v>
      </c>
      <c r="E98" s="45" t="s">
        <v>652</v>
      </c>
      <c r="J98" s="32" t="s">
        <v>299</v>
      </c>
      <c r="K98" s="32" t="s">
        <v>299</v>
      </c>
      <c r="M98" s="22">
        <f t="shared" si="3"/>
        <v>4</v>
      </c>
      <c r="N98" s="22">
        <f t="shared" si="4"/>
        <v>1</v>
      </c>
      <c r="O98" s="22">
        <f t="shared" si="5"/>
        <v>5</v>
      </c>
    </row>
    <row r="99" spans="1:15" ht="16" x14ac:dyDescent="0.2">
      <c r="A99" s="22" t="s">
        <v>485</v>
      </c>
      <c r="B99" s="31" t="s">
        <v>96</v>
      </c>
      <c r="C99" s="45" t="s">
        <v>652</v>
      </c>
      <c r="D99" s="45" t="s">
        <v>652</v>
      </c>
      <c r="E99" s="45" t="s">
        <v>652</v>
      </c>
      <c r="K99" s="45" t="s">
        <v>652</v>
      </c>
      <c r="M99" s="22">
        <f t="shared" si="3"/>
        <v>0</v>
      </c>
      <c r="N99" s="22">
        <f t="shared" si="4"/>
        <v>4</v>
      </c>
      <c r="O99" s="22">
        <f t="shared" si="5"/>
        <v>4</v>
      </c>
    </row>
    <row r="100" spans="1:15" ht="16" x14ac:dyDescent="0.2">
      <c r="A100" s="22" t="s">
        <v>486</v>
      </c>
      <c r="B100" s="31" t="s">
        <v>487</v>
      </c>
      <c r="C100" s="45" t="s">
        <v>652</v>
      </c>
      <c r="D100" s="45" t="s">
        <v>652</v>
      </c>
      <c r="E100" s="45" t="s">
        <v>652</v>
      </c>
      <c r="K100" s="45" t="s">
        <v>652</v>
      </c>
      <c r="L100" s="45" t="s">
        <v>652</v>
      </c>
      <c r="M100" s="22">
        <f t="shared" si="3"/>
        <v>0</v>
      </c>
      <c r="N100" s="22">
        <f t="shared" si="4"/>
        <v>5</v>
      </c>
      <c r="O100" s="22">
        <f t="shared" si="5"/>
        <v>5</v>
      </c>
    </row>
    <row r="101" spans="1:15" ht="16" x14ac:dyDescent="0.2">
      <c r="A101" s="22" t="s">
        <v>488</v>
      </c>
      <c r="B101" s="31" t="s">
        <v>489</v>
      </c>
      <c r="C101" s="45" t="s">
        <v>652</v>
      </c>
      <c r="D101" s="45" t="s">
        <v>652</v>
      </c>
      <c r="E101" s="45" t="s">
        <v>652</v>
      </c>
      <c r="K101" s="45" t="s">
        <v>652</v>
      </c>
      <c r="L101" s="45" t="s">
        <v>652</v>
      </c>
      <c r="M101" s="22">
        <f t="shared" si="3"/>
        <v>0</v>
      </c>
      <c r="N101" s="22">
        <f t="shared" si="4"/>
        <v>5</v>
      </c>
      <c r="O101" s="22">
        <f t="shared" si="5"/>
        <v>5</v>
      </c>
    </row>
    <row r="102" spans="1:15" ht="16" x14ac:dyDescent="0.2">
      <c r="B102" s="31" t="s">
        <v>299</v>
      </c>
      <c r="C102" s="22">
        <f>COUNTIF(C2:C101,"FP")</f>
        <v>35</v>
      </c>
      <c r="D102" s="22">
        <f t="shared" ref="D102:K102" si="6">COUNTIF(D2:D101,"FP")</f>
        <v>18</v>
      </c>
      <c r="E102" s="22">
        <f t="shared" si="6"/>
        <v>7</v>
      </c>
      <c r="F102" s="22">
        <f t="shared" si="6"/>
        <v>15</v>
      </c>
      <c r="G102" s="22">
        <f t="shared" si="6"/>
        <v>0</v>
      </c>
      <c r="H102" s="22">
        <f t="shared" si="6"/>
        <v>0</v>
      </c>
      <c r="I102" s="22">
        <f t="shared" si="6"/>
        <v>0</v>
      </c>
      <c r="J102" s="22">
        <f t="shared" si="6"/>
        <v>21</v>
      </c>
      <c r="K102" s="22">
        <f t="shared" si="6"/>
        <v>46</v>
      </c>
      <c r="L102" s="22">
        <f>COUNTIF(L2:L101,"FP")</f>
        <v>14</v>
      </c>
      <c r="M102" s="22">
        <f>SUM(M2:M101)/100</f>
        <v>1.56</v>
      </c>
      <c r="N102" s="22">
        <f t="shared" ref="N102:O102" si="7">SUM(N2:N101)/100</f>
        <v>2.12</v>
      </c>
      <c r="O102" s="22">
        <f t="shared" si="7"/>
        <v>3.68</v>
      </c>
    </row>
    <row r="103" spans="1:15" ht="16" x14ac:dyDescent="0.2">
      <c r="B103" s="31" t="s">
        <v>652</v>
      </c>
      <c r="C103" s="22">
        <f>COUNTIF(C2:C101,"XX")</f>
        <v>31</v>
      </c>
      <c r="D103" s="22">
        <f t="shared" ref="D103:L103" si="8">COUNTIF(D2:D101,"XX")</f>
        <v>45</v>
      </c>
      <c r="E103" s="22">
        <f t="shared" si="8"/>
        <v>63</v>
      </c>
      <c r="F103" s="22">
        <f t="shared" si="8"/>
        <v>5</v>
      </c>
      <c r="G103" s="22">
        <f t="shared" si="8"/>
        <v>7</v>
      </c>
      <c r="H103" s="22">
        <f t="shared" si="8"/>
        <v>12</v>
      </c>
      <c r="I103" s="22">
        <f t="shared" si="8"/>
        <v>1</v>
      </c>
      <c r="J103" s="22">
        <f t="shared" si="8"/>
        <v>7</v>
      </c>
      <c r="K103" s="22">
        <f t="shared" si="8"/>
        <v>30</v>
      </c>
      <c r="L103" s="22">
        <f t="shared" si="8"/>
        <v>11</v>
      </c>
    </row>
    <row r="104" spans="1:15" ht="16" x14ac:dyDescent="0.2">
      <c r="B104" s="31" t="s">
        <v>523</v>
      </c>
      <c r="C104" s="22">
        <f>SUM(C102,C103)</f>
        <v>66</v>
      </c>
      <c r="D104" s="22">
        <f t="shared" ref="D104:L104" si="9">SUM(D102,D103)</f>
        <v>63</v>
      </c>
      <c r="E104" s="22">
        <f t="shared" si="9"/>
        <v>70</v>
      </c>
      <c r="F104" s="22">
        <f t="shared" si="9"/>
        <v>20</v>
      </c>
      <c r="G104" s="22">
        <f t="shared" si="9"/>
        <v>7</v>
      </c>
      <c r="H104" s="22">
        <f t="shared" si="9"/>
        <v>12</v>
      </c>
      <c r="I104" s="22">
        <f t="shared" si="9"/>
        <v>1</v>
      </c>
      <c r="J104" s="22">
        <f t="shared" si="9"/>
        <v>28</v>
      </c>
      <c r="K104" s="22">
        <f t="shared" si="9"/>
        <v>76</v>
      </c>
      <c r="L104" s="22">
        <f t="shared" si="9"/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FP Tracer Sites</vt:lpstr>
      <vt:lpstr>Jshelter Sites</vt:lpstr>
      <vt:lpstr>Policy Cat</vt:lpstr>
      <vt:lpstr>FP Tracer Cat</vt:lpstr>
      <vt:lpstr>Jshelter Cat</vt:lpstr>
      <vt:lpstr>FP Tracer API</vt:lpstr>
      <vt:lpstr>JShelter API</vt:lpstr>
      <vt:lpstr>1 API Matrix</vt:lpstr>
      <vt:lpstr>2 Category Matrix</vt:lpstr>
      <vt:lpstr>3 API Matrix</vt:lpstr>
      <vt:lpstr>4 Category Matrix</vt:lpstr>
      <vt:lpstr>5 API Matrix</vt:lpstr>
      <vt:lpstr>6 Category Matrix</vt:lpstr>
      <vt:lpstr>7 API Matrix</vt:lpstr>
      <vt:lpstr>8 Category Matrix</vt:lpstr>
      <vt:lpstr>9 Policy Declared</vt:lpstr>
      <vt:lpstr>10 Policy vs JShelter</vt:lpstr>
      <vt:lpstr>11 Policy vs FP Tracer</vt:lpstr>
      <vt:lpstr>12 Policy Declared</vt:lpstr>
      <vt:lpstr>13 Policy vs JShelter</vt:lpstr>
      <vt:lpstr>14 Policy vs FP Tracer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Gope, Dhruba Joetirmoya</dc:creator>
  <cp:lastModifiedBy>Gope, Dhruba Joetirmoya</cp:lastModifiedBy>
  <dcterms:created xsi:type="dcterms:W3CDTF">2026-03-14T04:48:59Z</dcterms:created>
  <dcterms:modified xsi:type="dcterms:W3CDTF">2026-03-16T04:33:51Z</dcterms:modified>
</cp:coreProperties>
</file>